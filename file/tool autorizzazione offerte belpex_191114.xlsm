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EOR\PROGRAMMAZIONE 2014\BELGIO\Tool Belpex\11 Novembre\"/>
    </mc:Choice>
  </mc:AlternateContent>
  <bookViews>
    <workbookView xWindow="120" yWindow="90" windowWidth="15480" windowHeight="11640" tabRatio="808" activeTab="2"/>
  </bookViews>
  <sheets>
    <sheet name="Config" sheetId="9" r:id="rId1"/>
    <sheet name="Autorizzazione" sheetId="11" r:id="rId2"/>
    <sheet name="Buy summary" sheetId="1" r:id="rId3"/>
    <sheet name="G&amp;P buy" sheetId="2" r:id="rId4"/>
    <sheet name="ETS Buy" sheetId="3" r:id="rId5"/>
    <sheet name="NET buy" sheetId="4" r:id="rId6"/>
    <sheet name="Sell summary" sheetId="5" r:id="rId7"/>
    <sheet name="G&amp;P sell" sheetId="6" r:id="rId8"/>
    <sheet name="ETS sell" sheetId="7" r:id="rId9"/>
    <sheet name="NET sell" sheetId="8" r:id="rId10"/>
    <sheet name="Check_netting_ETS_G&amp;P" sheetId="10" r:id="rId11"/>
    <sheet name="Verbale" sheetId="12" r:id="rId12"/>
  </sheets>
  <calcPr calcId="152511"/>
</workbook>
</file>

<file path=xl/calcChain.xml><?xml version="1.0" encoding="utf-8"?>
<calcChain xmlns="http://schemas.openxmlformats.org/spreadsheetml/2006/main">
  <c r="B1" i="5" l="1"/>
  <c r="B18" i="11" l="1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B6" i="10"/>
  <c r="C6" i="10"/>
  <c r="B7" i="10"/>
  <c r="C7" i="10"/>
  <c r="B8" i="10"/>
  <c r="C8" i="10"/>
  <c r="B9" i="10"/>
  <c r="C9" i="10"/>
  <c r="B10" i="10"/>
  <c r="C10" i="10"/>
  <c r="B11" i="10"/>
  <c r="C11" i="10"/>
  <c r="B12" i="10"/>
  <c r="C12" i="10"/>
  <c r="B13" i="10"/>
  <c r="C13" i="10"/>
  <c r="B14" i="10"/>
  <c r="C14" i="10"/>
  <c r="B15" i="10"/>
  <c r="C15" i="10"/>
  <c r="B16" i="10"/>
  <c r="C16" i="10"/>
  <c r="B17" i="10"/>
  <c r="C17" i="10"/>
  <c r="B18" i="10"/>
  <c r="C18" i="10"/>
  <c r="B19" i="10"/>
  <c r="C19" i="10"/>
  <c r="B20" i="10"/>
  <c r="C20" i="10"/>
  <c r="B21" i="10"/>
  <c r="C21" i="10"/>
  <c r="B22" i="10"/>
  <c r="C22" i="10"/>
  <c r="B23" i="10"/>
  <c r="C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O8" i="1"/>
  <c r="AO7" i="1"/>
  <c r="AO6" i="1"/>
  <c r="AO5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G6" i="1"/>
  <c r="AG5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C9" i="1"/>
  <c r="AC8" i="1"/>
  <c r="AC7" i="1"/>
  <c r="AC6" i="1"/>
  <c r="AC5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5" i="1"/>
  <c r="D31" i="6"/>
  <c r="E5" i="10"/>
  <c r="D5" i="10"/>
  <c r="C5" i="10"/>
  <c r="B5" i="10"/>
  <c r="AX31" i="8"/>
  <c r="AV31" i="8"/>
  <c r="AT31" i="8"/>
  <c r="AR31" i="8"/>
  <c r="AP31" i="8"/>
  <c r="AN31" i="8"/>
  <c r="AL31" i="8"/>
  <c r="AJ31" i="8"/>
  <c r="AH31" i="8"/>
  <c r="AF31" i="8"/>
  <c r="AD31" i="8"/>
  <c r="AB31" i="8"/>
  <c r="Z31" i="8"/>
  <c r="X31" i="8"/>
  <c r="V31" i="8"/>
  <c r="T31" i="8"/>
  <c r="R31" i="8"/>
  <c r="P31" i="8"/>
  <c r="N31" i="8"/>
  <c r="L31" i="8"/>
  <c r="J31" i="8"/>
  <c r="H31" i="8"/>
  <c r="F31" i="8"/>
  <c r="D31" i="8"/>
  <c r="B31" i="8"/>
  <c r="AX31" i="7"/>
  <c r="AV31" i="7"/>
  <c r="AT31" i="7"/>
  <c r="AR31" i="7"/>
  <c r="AP31" i="7"/>
  <c r="AN31" i="7"/>
  <c r="AL31" i="7"/>
  <c r="AJ31" i="7"/>
  <c r="AH31" i="7"/>
  <c r="AF31" i="7"/>
  <c r="AD31" i="7"/>
  <c r="AB31" i="7"/>
  <c r="Z31" i="7"/>
  <c r="X31" i="7"/>
  <c r="V31" i="7"/>
  <c r="T31" i="7"/>
  <c r="R31" i="7"/>
  <c r="P31" i="7"/>
  <c r="N31" i="7"/>
  <c r="L31" i="7"/>
  <c r="J31" i="7"/>
  <c r="H31" i="7"/>
  <c r="F31" i="7"/>
  <c r="D31" i="7"/>
  <c r="B31" i="7"/>
  <c r="AX31" i="6"/>
  <c r="AV31" i="6"/>
  <c r="AT31" i="6"/>
  <c r="AR31" i="6"/>
  <c r="AP31" i="6"/>
  <c r="AN31" i="6"/>
  <c r="AL31" i="6"/>
  <c r="AJ31" i="6"/>
  <c r="AH31" i="6"/>
  <c r="AF31" i="6"/>
  <c r="AD31" i="6"/>
  <c r="AB31" i="6"/>
  <c r="Z31" i="6"/>
  <c r="X31" i="6"/>
  <c r="V31" i="6"/>
  <c r="T31" i="6"/>
  <c r="R31" i="6"/>
  <c r="P31" i="6"/>
  <c r="N31" i="6"/>
  <c r="L31" i="6"/>
  <c r="J31" i="6"/>
  <c r="H31" i="6"/>
  <c r="F31" i="6"/>
  <c r="B31" i="6"/>
  <c r="AX31" i="2"/>
  <c r="AV31" i="2"/>
  <c r="AT31" i="2"/>
  <c r="AR31" i="2"/>
  <c r="AP31" i="2"/>
  <c r="AN31" i="2"/>
  <c r="AL31" i="2"/>
  <c r="AJ31" i="2"/>
  <c r="AH31" i="2"/>
  <c r="AF31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B31" i="2"/>
  <c r="AX31" i="3"/>
  <c r="AV31" i="3"/>
  <c r="AT31" i="3"/>
  <c r="AR31" i="3"/>
  <c r="AP31" i="3"/>
  <c r="AN31" i="3"/>
  <c r="AL31" i="3"/>
  <c r="AJ31" i="3"/>
  <c r="AH31" i="3"/>
  <c r="AF31" i="3"/>
  <c r="AD31" i="3"/>
  <c r="AB31" i="3"/>
  <c r="Z31" i="3"/>
  <c r="X31" i="3"/>
  <c r="V31" i="3"/>
  <c r="T31" i="3"/>
  <c r="R31" i="3"/>
  <c r="P31" i="3"/>
  <c r="N31" i="3"/>
  <c r="L31" i="3"/>
  <c r="J31" i="3"/>
  <c r="H31" i="3"/>
  <c r="F31" i="3"/>
  <c r="D31" i="3"/>
  <c r="B31" i="3"/>
  <c r="AX31" i="4"/>
  <c r="AV31" i="4"/>
  <c r="AT31" i="4"/>
  <c r="AR31" i="4"/>
  <c r="AP31" i="4"/>
  <c r="AN31" i="4"/>
  <c r="AL31" i="4"/>
  <c r="AJ31" i="4"/>
  <c r="AH31" i="4"/>
  <c r="AF31" i="4"/>
  <c r="AD31" i="4"/>
  <c r="AB31" i="4"/>
  <c r="Z31" i="4"/>
  <c r="X31" i="4"/>
  <c r="V31" i="4"/>
  <c r="T31" i="4"/>
  <c r="R31" i="4"/>
  <c r="P31" i="4"/>
  <c r="N31" i="4"/>
  <c r="L31" i="4"/>
  <c r="J31" i="4"/>
  <c r="H31" i="4"/>
  <c r="F31" i="4"/>
  <c r="D31" i="4"/>
  <c r="B31" i="4"/>
  <c r="AT4" i="5"/>
  <c r="AT28" i="1"/>
  <c r="AT29" i="1"/>
  <c r="D29" i="1"/>
  <c r="E29" i="1"/>
  <c r="F29" i="1"/>
  <c r="H29" i="1"/>
  <c r="J29" i="1"/>
  <c r="L29" i="1"/>
  <c r="N29" i="1"/>
  <c r="P29" i="1"/>
  <c r="R29" i="1"/>
  <c r="T29" i="1"/>
  <c r="V29" i="1"/>
  <c r="X29" i="1"/>
  <c r="Z29" i="1"/>
  <c r="AB29" i="1"/>
  <c r="AD29" i="1"/>
  <c r="AF29" i="1"/>
  <c r="AH29" i="1"/>
  <c r="AJ29" i="1"/>
  <c r="AL29" i="1"/>
  <c r="AN29" i="1"/>
  <c r="AP29" i="1"/>
  <c r="AR29" i="1"/>
  <c r="AV29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N9" i="1"/>
  <c r="AN8" i="1"/>
  <c r="AN7" i="1"/>
  <c r="AN6" i="1"/>
  <c r="AN5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F5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AB5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5" i="1"/>
  <c r="F48" i="1" l="1"/>
  <c r="N48" i="1"/>
  <c r="V48" i="1"/>
  <c r="AD48" i="1"/>
  <c r="AL48" i="1"/>
  <c r="AT48" i="1"/>
  <c r="H48" i="1"/>
  <c r="P48" i="1"/>
  <c r="X48" i="1"/>
  <c r="AF48" i="1"/>
  <c r="AN48" i="1"/>
  <c r="AV48" i="1"/>
  <c r="J48" i="1"/>
  <c r="R48" i="1"/>
  <c r="Z48" i="1"/>
  <c r="AH48" i="1"/>
  <c r="AP48" i="1"/>
  <c r="AX48" i="1"/>
  <c r="L48" i="1"/>
  <c r="T48" i="1"/>
  <c r="AB48" i="1"/>
  <c r="AJ48" i="1"/>
  <c r="AR48" i="1"/>
  <c r="D48" i="1"/>
  <c r="C31" i="10"/>
  <c r="B31" i="10"/>
  <c r="AX31" i="5"/>
  <c r="AT31" i="5"/>
  <c r="AP31" i="5"/>
  <c r="AL31" i="5"/>
  <c r="AH31" i="5"/>
  <c r="AD31" i="5"/>
  <c r="Z31" i="5"/>
  <c r="V31" i="5"/>
  <c r="R31" i="5"/>
  <c r="N31" i="5"/>
  <c r="J31" i="5"/>
  <c r="F31" i="5"/>
  <c r="L31" i="5"/>
  <c r="AR31" i="5"/>
  <c r="E17" i="11"/>
  <c r="B35" i="5"/>
  <c r="E31" i="10"/>
  <c r="AT31" i="1"/>
  <c r="AV31" i="1"/>
  <c r="AX31" i="1"/>
  <c r="B37" i="1"/>
  <c r="B39" i="1"/>
  <c r="B39" i="5"/>
  <c r="AX48" i="5"/>
  <c r="AP48" i="5"/>
  <c r="AH48" i="5"/>
  <c r="Z48" i="5"/>
  <c r="B33" i="8"/>
  <c r="AR31" i="1"/>
  <c r="AP31" i="1"/>
  <c r="C25" i="9"/>
  <c r="R48" i="5"/>
  <c r="J48" i="5"/>
  <c r="AH31" i="1"/>
  <c r="AB31" i="5"/>
  <c r="B37" i="5"/>
  <c r="D31" i="10"/>
  <c r="AN31" i="1"/>
  <c r="J31" i="1"/>
  <c r="R31" i="1"/>
  <c r="Z31" i="1"/>
  <c r="AD31" i="1"/>
  <c r="V31" i="1"/>
  <c r="N31" i="1"/>
  <c r="AF31" i="1"/>
  <c r="X31" i="1"/>
  <c r="P31" i="1"/>
  <c r="H31" i="1"/>
  <c r="B35" i="1"/>
  <c r="AJ31" i="1"/>
  <c r="AB31" i="1"/>
  <c r="T31" i="1"/>
  <c r="L31" i="1"/>
  <c r="AL31" i="1"/>
  <c r="F31" i="1"/>
  <c r="AV48" i="5"/>
  <c r="AR48" i="5"/>
  <c r="AN31" i="5"/>
  <c r="AJ48" i="5"/>
  <c r="AF48" i="5"/>
  <c r="AB48" i="5"/>
  <c r="X31" i="5"/>
  <c r="T48" i="5"/>
  <c r="P48" i="5"/>
  <c r="L48" i="5"/>
  <c r="H31" i="5"/>
  <c r="D48" i="5"/>
  <c r="AT48" i="5"/>
  <c r="AL48" i="5"/>
  <c r="AD48" i="5"/>
  <c r="V48" i="5"/>
  <c r="N48" i="5"/>
  <c r="F48" i="5"/>
  <c r="C26" i="9"/>
  <c r="AV31" i="5"/>
  <c r="AF31" i="5"/>
  <c r="P31" i="5"/>
  <c r="H48" i="5"/>
  <c r="X48" i="5"/>
  <c r="AN48" i="5"/>
  <c r="AJ31" i="5"/>
  <c r="T31" i="5"/>
  <c r="D31" i="5"/>
  <c r="F27" i="10"/>
  <c r="G27" i="10" s="1"/>
  <c r="B27" i="1" s="1"/>
  <c r="C27" i="1" s="1"/>
  <c r="F23" i="10"/>
  <c r="G23" i="10" s="1"/>
  <c r="B23" i="1" s="1"/>
  <c r="C23" i="1" s="1"/>
  <c r="F19" i="10"/>
  <c r="H19" i="10" s="1"/>
  <c r="F15" i="10"/>
  <c r="G15" i="10" s="1"/>
  <c r="B15" i="1" s="1"/>
  <c r="C15" i="1" s="1"/>
  <c r="F11" i="10"/>
  <c r="G11" i="10" s="1"/>
  <c r="B11" i="1" s="1"/>
  <c r="C11" i="1" s="1"/>
  <c r="F7" i="10"/>
  <c r="H7" i="10" s="1"/>
  <c r="F21" i="10"/>
  <c r="H21" i="10" s="1"/>
  <c r="F17" i="10"/>
  <c r="H17" i="10" s="1"/>
  <c r="F29" i="10"/>
  <c r="G29" i="10" s="1"/>
  <c r="B29" i="1" s="1"/>
  <c r="C29" i="1" s="1"/>
  <c r="F25" i="10"/>
  <c r="H25" i="10" s="1"/>
  <c r="F13" i="10"/>
  <c r="G13" i="10" s="1"/>
  <c r="B13" i="1" s="1"/>
  <c r="C13" i="1" s="1"/>
  <c r="F9" i="10"/>
  <c r="H9" i="10" s="1"/>
  <c r="F28" i="10"/>
  <c r="G28" i="10" s="1"/>
  <c r="B28" i="1" s="1"/>
  <c r="C28" i="1" s="1"/>
  <c r="F26" i="10"/>
  <c r="H26" i="10" s="1"/>
  <c r="F24" i="10"/>
  <c r="H24" i="10" s="1"/>
  <c r="F22" i="10"/>
  <c r="G22" i="10" s="1"/>
  <c r="B22" i="1" s="1"/>
  <c r="C22" i="1" s="1"/>
  <c r="F20" i="10"/>
  <c r="H20" i="10" s="1"/>
  <c r="F18" i="10"/>
  <c r="H18" i="10" s="1"/>
  <c r="F16" i="10"/>
  <c r="H16" i="10" s="1"/>
  <c r="F14" i="10"/>
  <c r="H14" i="10" s="1"/>
  <c r="F12" i="10"/>
  <c r="G12" i="10" s="1"/>
  <c r="B12" i="1" s="1"/>
  <c r="C12" i="1" s="1"/>
  <c r="F10" i="10"/>
  <c r="H10" i="10" s="1"/>
  <c r="F8" i="10"/>
  <c r="H8" i="10" s="1"/>
  <c r="F6" i="10"/>
  <c r="G6" i="10" s="1"/>
  <c r="B6" i="1" s="1"/>
  <c r="C6" i="1" s="1"/>
  <c r="F5" i="10"/>
  <c r="B14" i="5" l="1"/>
  <c r="C14" i="5" s="1"/>
  <c r="B9" i="5"/>
  <c r="C9" i="5" s="1"/>
  <c r="B17" i="5"/>
  <c r="C17" i="5" s="1"/>
  <c r="B8" i="5"/>
  <c r="C8" i="5" s="1"/>
  <c r="B16" i="5"/>
  <c r="C16" i="5" s="1"/>
  <c r="B24" i="5"/>
  <c r="C24" i="5" s="1"/>
  <c r="B21" i="5"/>
  <c r="C21" i="5" s="1"/>
  <c r="B19" i="5"/>
  <c r="C19" i="5" s="1"/>
  <c r="B20" i="5"/>
  <c r="C20" i="5" s="1"/>
  <c r="B10" i="5"/>
  <c r="C10" i="5" s="1"/>
  <c r="B18" i="5"/>
  <c r="C18" i="5" s="1"/>
  <c r="B26" i="5"/>
  <c r="C26" i="5" s="1"/>
  <c r="B25" i="5"/>
  <c r="C25" i="5" s="1"/>
  <c r="B7" i="5"/>
  <c r="C7" i="5" s="1"/>
  <c r="G26" i="10"/>
  <c r="B26" i="1" s="1"/>
  <c r="C26" i="1" s="1"/>
  <c r="H22" i="10"/>
  <c r="H28" i="10"/>
  <c r="G20" i="10"/>
  <c r="B20" i="1" s="1"/>
  <c r="C20" i="1" s="1"/>
  <c r="H6" i="10"/>
  <c r="H29" i="10"/>
  <c r="B29" i="5" s="1"/>
  <c r="C29" i="5" s="1"/>
  <c r="H27" i="10"/>
  <c r="H23" i="10"/>
  <c r="G14" i="10"/>
  <c r="B14" i="1" s="1"/>
  <c r="C14" i="1" s="1"/>
  <c r="H11" i="10"/>
  <c r="H15" i="10"/>
  <c r="G19" i="10"/>
  <c r="B19" i="1" s="1"/>
  <c r="C19" i="1" s="1"/>
  <c r="G7" i="10"/>
  <c r="B7" i="1" s="1"/>
  <c r="C7" i="1" s="1"/>
  <c r="G25" i="10"/>
  <c r="B25" i="1" s="1"/>
  <c r="C25" i="1" s="1"/>
  <c r="G10" i="10"/>
  <c r="B10" i="1" s="1"/>
  <c r="C10" i="1" s="1"/>
  <c r="G17" i="10"/>
  <c r="B17" i="1" s="1"/>
  <c r="C17" i="1" s="1"/>
  <c r="H12" i="10"/>
  <c r="G18" i="10"/>
  <c r="B18" i="1" s="1"/>
  <c r="C18" i="1" s="1"/>
  <c r="G9" i="10"/>
  <c r="B9" i="1" s="1"/>
  <c r="C9" i="1" s="1"/>
  <c r="G21" i="10"/>
  <c r="B21" i="1" s="1"/>
  <c r="C21" i="1" s="1"/>
  <c r="H13" i="10"/>
  <c r="G16" i="10"/>
  <c r="B16" i="1" s="1"/>
  <c r="C16" i="1" s="1"/>
  <c r="G8" i="10"/>
  <c r="B8" i="1" s="1"/>
  <c r="C8" i="1" s="1"/>
  <c r="G24" i="10"/>
  <c r="B24" i="1" s="1"/>
  <c r="C24" i="1" s="1"/>
  <c r="H5" i="10"/>
  <c r="B5" i="5" s="1"/>
  <c r="F31" i="10"/>
  <c r="G5" i="10"/>
  <c r="B13" i="5" l="1"/>
  <c r="C13" i="5" s="1"/>
  <c r="B12" i="5"/>
  <c r="C12" i="5" s="1"/>
  <c r="B6" i="5"/>
  <c r="C6" i="5" s="1"/>
  <c r="B22" i="5"/>
  <c r="C22" i="5" s="1"/>
  <c r="B15" i="5"/>
  <c r="C15" i="5" s="1"/>
  <c r="B27" i="5"/>
  <c r="C27" i="5" s="1"/>
  <c r="B28" i="5"/>
  <c r="C28" i="5" s="1"/>
  <c r="B11" i="5"/>
  <c r="C11" i="5" s="1"/>
  <c r="B23" i="5"/>
  <c r="C23" i="5" s="1"/>
  <c r="H31" i="10"/>
  <c r="B45" i="5" s="1"/>
  <c r="G31" i="10"/>
  <c r="B45" i="1" s="1"/>
  <c r="B5" i="1"/>
  <c r="B41" i="5" l="1"/>
  <c r="C5" i="1"/>
  <c r="B41" i="1"/>
  <c r="E43" i="1" s="1"/>
  <c r="B31" i="1"/>
  <c r="B31" i="5"/>
  <c r="B33" i="5" s="1"/>
  <c r="C5" i="5"/>
  <c r="B48" i="5" s="1"/>
  <c r="I2" i="5" s="1"/>
  <c r="G2" i="5" s="1"/>
  <c r="B48" i="1" l="1"/>
  <c r="I2" i="1" s="1"/>
  <c r="G2" i="1" s="1"/>
  <c r="D31" i="1"/>
  <c r="B33" i="1" s="1"/>
  <c r="F2" i="1"/>
  <c r="B46" i="1"/>
  <c r="E43" i="5"/>
  <c r="F2" i="5" s="1"/>
  <c r="B46" i="5"/>
  <c r="C33" i="5" s="1"/>
  <c r="C33" i="1" l="1"/>
</calcChain>
</file>

<file path=xl/comments1.xml><?xml version="1.0" encoding="utf-8"?>
<comments xmlns="http://schemas.openxmlformats.org/spreadsheetml/2006/main">
  <authors>
    <author>en26636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en26636:</t>
        </r>
        <r>
          <rPr>
            <sz val="8"/>
            <color indexed="81"/>
            <rFont val="Tahoma"/>
            <family val="2"/>
          </rPr>
          <t xml:space="preserve">
posizione globale G&amp;P senza NET</t>
        </r>
      </text>
    </comment>
  </commentList>
</comments>
</file>

<file path=xl/comments2.xml><?xml version="1.0" encoding="utf-8"?>
<comments xmlns="http://schemas.openxmlformats.org/spreadsheetml/2006/main">
  <authors>
    <author>en26636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en26636:</t>
        </r>
        <r>
          <rPr>
            <sz val="8"/>
            <color indexed="81"/>
            <rFont val="Tahoma"/>
            <family val="2"/>
          </rPr>
          <t xml:space="preserve">
posizione globale G&amp;P senza NET</t>
        </r>
      </text>
    </comment>
  </commentList>
</comments>
</file>

<file path=xl/sharedStrings.xml><?xml version="1.0" encoding="utf-8"?>
<sst xmlns="http://schemas.openxmlformats.org/spreadsheetml/2006/main" count="533" uniqueCount="99">
  <si>
    <t>Hour number</t>
  </si>
  <si>
    <t>Volume (MWh)</t>
  </si>
  <si>
    <t>Limit price (€/MWh)</t>
  </si>
  <si>
    <t>copiare da MECOMS BUY G&amp;P</t>
  </si>
  <si>
    <t>copiare da MECOMS BUY ETS</t>
  </si>
  <si>
    <t>copiare da MECOMS BUY NET</t>
  </si>
  <si>
    <t>delivery date</t>
  </si>
  <si>
    <t>G&amp;P and ETS</t>
  </si>
  <si>
    <t>BUY SIDE</t>
  </si>
  <si>
    <t>BUY TOTAL</t>
  </si>
  <si>
    <t>SELL SIDE</t>
  </si>
  <si>
    <t>NET BUY TOTAL</t>
  </si>
  <si>
    <t>ETS BUY TOTAL</t>
  </si>
  <si>
    <t>G&amp;P buy TOTAL</t>
  </si>
  <si>
    <t>SELL TOTAL</t>
  </si>
  <si>
    <t>SELL NET TOTAL</t>
  </si>
  <si>
    <t>SELL ETS TOTAL</t>
  </si>
  <si>
    <t>SELL G&amp;P TOTAL</t>
  </si>
  <si>
    <t>NETTING</t>
  </si>
  <si>
    <t>ETS BUY MWh</t>
  </si>
  <si>
    <t>G&amp;P BUY MWh</t>
  </si>
  <si>
    <t>ETS SELL MWh</t>
  </si>
  <si>
    <t>G&amp;P SELL MWh</t>
  </si>
  <si>
    <t>Netted Volume Sell-Buy</t>
  </si>
  <si>
    <t>NETTED G&amp;P+ETS BUY</t>
  </si>
  <si>
    <t>NETTED G&amp;P+ETS SELL</t>
  </si>
  <si>
    <t>TOTAL SELL NET</t>
  </si>
  <si>
    <t>Limiti prezzo G&amp;P</t>
  </si>
  <si>
    <t>sell</t>
  </si>
  <si>
    <t>buy</t>
  </si>
  <si>
    <t>Chek con file open position</t>
  </si>
  <si>
    <t>SELL G&amp;P + ETS</t>
  </si>
  <si>
    <t>G&amp;P + ETS open position</t>
  </si>
  <si>
    <t>Delta</t>
  </si>
  <si>
    <t>Limite acq net = G&amp;P</t>
  </si>
  <si>
    <t>imponi in acquisto i limiti di NET</t>
  </si>
  <si>
    <t>lascia i limiti di net</t>
  </si>
  <si>
    <t>deve essere allineato con il mecoms</t>
  </si>
  <si>
    <t xml:space="preserve">Nome file </t>
  </si>
  <si>
    <t>Directory file</t>
  </si>
  <si>
    <t>CASH VALUE</t>
  </si>
  <si>
    <t>da controllare con valore client</t>
  </si>
  <si>
    <t>BUY G&amp;P + ETS NETTED</t>
  </si>
  <si>
    <t>Quantità nettata</t>
  </si>
  <si>
    <t>Att.ne di Giuseppe Viscardi</t>
  </si>
  <si>
    <t xml:space="preserve">Si richiede autorizzazione per l’immissione dei seguenti ordini di acquisto/vendita sulla borsa </t>
  </si>
  <si>
    <t>elettrica belga Belpex corrispondente alle indicazioni ricevute in data</t>
  </si>
  <si>
    <t>per il giorno di flusso</t>
  </si>
  <si>
    <t xml:space="preserve">Le quantità ed i prezzi autorizzati sono presenti nei fogli Buy Summary e Sell Summary, </t>
  </si>
  <si>
    <t>rispettivamente nelle colonne contraddistinte dall'etichetta Volume (MWh) e Limit price (€/MWh)</t>
  </si>
  <si>
    <t>copiare da MECOMS SELL NET</t>
  </si>
  <si>
    <t>copiare da MECOMS SELL ETS</t>
  </si>
  <si>
    <t>Verbale autorizzativo immissione offerte orarie di compravendita su borse elettriche estere</t>
  </si>
  <si>
    <t>Procuratore abilitato</t>
  </si>
  <si>
    <t>Maurizio Cimino</t>
  </si>
  <si>
    <t>Data emissione autorizzazione</t>
  </si>
  <si>
    <t>Nota</t>
  </si>
  <si>
    <t>Inizio validità</t>
  </si>
  <si>
    <t>il riferimento è il giorno di delivery</t>
  </si>
  <si>
    <t>fine validità</t>
  </si>
  <si>
    <t>Il Procuratore Abilitato con il presente verbale autorizza la lista di utenti riportati nel foglio "abilitazioni" a poter finalizzare le seguenti transazioni.  
Si precisa che tale autorizzazione dovrà essere esercitata, con riferimento ad ogni singola transazione, nel rispetto delle seguenti limitanti:</t>
  </si>
  <si>
    <t xml:space="preserve"> </t>
  </si>
  <si>
    <t>Mercato</t>
  </si>
  <si>
    <t>Punto di oferta</t>
  </si>
  <si>
    <t>Prodotto</t>
  </si>
  <si>
    <t>Direzione</t>
  </si>
  <si>
    <t>Tipo Limite</t>
  </si>
  <si>
    <t>Da</t>
  </si>
  <si>
    <t>A</t>
  </si>
  <si>
    <t>Belgio</t>
  </si>
  <si>
    <t>borsa belpex</t>
  </si>
  <si>
    <t>NET vedere definizione NET (foglio "definizioni")</t>
  </si>
  <si>
    <t>Sell/Buy</t>
  </si>
  <si>
    <t>Prezzo  €/MWh</t>
  </si>
  <si>
    <t>+3000</t>
  </si>
  <si>
    <r>
      <t>vedere definizione +-</t>
    </r>
    <r>
      <rPr>
        <u/>
        <sz val="11"/>
        <color theme="1"/>
        <rFont val="Calibri"/>
        <family val="2"/>
        <scheme val="minor"/>
      </rPr>
      <t xml:space="preserve">3000 </t>
    </r>
    <r>
      <rPr>
        <sz val="11"/>
        <color theme="1"/>
        <rFont val="Calibri"/>
        <family val="2"/>
        <scheme val="minor"/>
      </rPr>
      <t>(foglio "definizioni")</t>
    </r>
  </si>
  <si>
    <t>bilanciamento portafoglio/
execution ordini ETS</t>
  </si>
  <si>
    <t>Sell</t>
  </si>
  <si>
    <t>Buy</t>
  </si>
  <si>
    <t>Francia</t>
  </si>
  <si>
    <t>epex spot zona FR</t>
  </si>
  <si>
    <t>Germania</t>
  </si>
  <si>
    <t>epex spot zona DE</t>
  </si>
  <si>
    <t>Svizzera</t>
  </si>
  <si>
    <t>epex spot zona CH</t>
  </si>
  <si>
    <t>Olanda</t>
  </si>
  <si>
    <t>APX</t>
  </si>
  <si>
    <t>Le quantità complessive a cui applicare i limiti di prezzo di offerta consentiti sono così definite:</t>
  </si>
  <si>
    <t>a) per quanto riguarda i NET, le quantità ed i limiti di prezzo da applicare sono contenute del sistema MECOMS; tali offerte consistono nel recepire ordini di acquisto/vendita provenienti direttamente dai clienti in termini di quantità e prezzo.</t>
  </si>
  <si>
    <t>b) per quanto riguarda l'execution degli ordini di ETS, le quantità sono indicate negli ordini spot inviati da ETS;</t>
  </si>
  <si>
    <t xml:space="preserve">c) per quanto riguarda il bilanciamento di portafoglio, le quantità sono calcolate in modo che il perimetro di Eni sia bilanciato (inclusivo delle transazioni concluse da ETS per trading proprietario o per hedging e, per il Belgio, delle transazioni NET) . In particolare per ogni mercato e per ogni ora:
+ contratti bilaterali in acquisto + import + immissioni (solo per il Belgio: back-deliveries) - contratti bilaterali in vendita - export - prelievi = vendite/acquisti di borsa. </t>
  </si>
  <si>
    <t>L'insieme delle offerte formulate come sopra per singolo giorno di flusso, per singolo mercato di borsa e per direzione Buy e Sell non deve superare la seguente limitante</t>
  </si>
  <si>
    <t>Limitante</t>
  </si>
  <si>
    <t>Borse estere/ buy e sell separatamente</t>
  </si>
  <si>
    <t>10 milioni di Euro</t>
  </si>
  <si>
    <r>
      <t xml:space="preserve">La verifica del rispetto di tale limitante sarà preventivamente effettuata valorizzando ogni singola offerta oraria ad un prezzo pari al massimo valore della media aritmetica giornaliera del precedente </t>
    </r>
    <r>
      <rPr>
        <u/>
        <sz val="11"/>
        <color theme="1"/>
        <rFont val="Calibri"/>
        <family val="2"/>
        <scheme val="minor"/>
      </rPr>
      <t xml:space="preserve">anno </t>
    </r>
    <r>
      <rPr>
        <sz val="11"/>
        <color theme="1"/>
        <rFont val="Calibri"/>
        <family val="2"/>
        <scheme val="minor"/>
      </rPr>
      <t>solare dei prezzi di borsa relativi al mercato al quale l'offerta si riferisce.</t>
    </r>
  </si>
  <si>
    <t>Le presenti deleghe sono da intendersi valide fino al giorno di flusso indicato come fine validità oppure fino a emissione di un nuovo verbale. Il nuovo verbale sostituirà il presente dalla nuova data di inizio validità.</t>
  </si>
  <si>
    <t>Si precisa, inoltre, che tale autorizzazione sarà esercitata con la massima diligenza, nel rispetto del Codice Etico, del Modello 231, delle linee guida, politiche, procedure e prassi vigenti, generali e specifiche della Società, nell’ambito delle funzioni attribuite</t>
  </si>
  <si>
    <t>Chek Verbale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</si>
</sst>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.00_);_(* \(#,##0.00\);_(* &quot;-&quot;??_);_(@_)"/>
    <numFmt numFmtId="165" formatCode="0.0"/>
    <numFmt numFmtId="166" formatCode="#,##0.0"/>
    <numFmt numFmtId="167" formatCode="_-* #,##0.0_-;\-* #,##0.0_-;_-* &quot;-&quot;??_-;_-@_-"/>
    <numFmt numFmtId="168" formatCode="_-* #,##0.0_-;\-* #,##0.0_-;_-* &quot;-&quot;?_-;_-@_-"/>
    <numFmt numFmtId="169" formatCode="_-* #,##0_-;\-* #,##0_-;_-* &quot;-&quot;??_-;_-@_-"/>
    <numFmt numFmtId="170" formatCode="0.000"/>
    <numFmt numFmtId="171" formatCode="_-* #,##0.000_-;\-* #,##0.000_-;_-* &quot;-&quot;??_-;_-@_-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name val="Gill Sans MT"/>
      <family val="2"/>
    </font>
    <font>
      <b/>
      <sz val="10"/>
      <name val="Arial"/>
      <family val="2"/>
    </font>
    <font>
      <b/>
      <sz val="12"/>
      <name val="Gill Sans MT"/>
      <family val="2"/>
    </font>
    <font>
      <sz val="22"/>
      <color rgb="FF000000"/>
      <name val="Eni 2"/>
    </font>
    <font>
      <sz val="12"/>
      <color rgb="FF000000"/>
      <name val="Eni 2"/>
    </font>
    <font>
      <sz val="8"/>
      <color rgb="FF000000"/>
      <name val="Times New Roman"/>
      <family val="1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1">
    <xf numFmtId="0" fontId="0" fillId="0" borderId="0"/>
    <xf numFmtId="0" fontId="3" fillId="17" borderId="0" applyNumberFormat="0" applyBorder="0" applyAlignment="0" applyProtection="0"/>
    <xf numFmtId="0" fontId="3" fillId="21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18" borderId="0" applyNumberFormat="0" applyBorder="0" applyAlignment="0" applyProtection="0"/>
    <xf numFmtId="0" fontId="3" fillId="22" borderId="0" applyNumberFormat="0" applyBorder="0" applyAlignment="0" applyProtection="0"/>
    <xf numFmtId="0" fontId="3" fillId="26" borderId="0" applyNumberFormat="0" applyBorder="0" applyAlignment="0" applyProtection="0"/>
    <xf numFmtId="0" fontId="3" fillId="30" borderId="0" applyNumberFormat="0" applyBorder="0" applyAlignment="0" applyProtection="0"/>
    <xf numFmtId="0" fontId="3" fillId="34" borderId="0" applyNumberFormat="0" applyBorder="0" applyAlignment="0" applyProtection="0"/>
    <xf numFmtId="0" fontId="3" fillId="38" borderId="0" applyNumberFormat="0" applyBorder="0" applyAlignment="0" applyProtection="0"/>
    <xf numFmtId="0" fontId="16" fillId="19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16" fillId="36" borderId="0" applyNumberFormat="0" applyBorder="0" applyAlignment="0" applyProtection="0"/>
    <xf numFmtId="0" fontId="9" fillId="11" borderId="0" applyNumberFormat="0" applyBorder="0" applyAlignment="0" applyProtection="0"/>
    <xf numFmtId="0" fontId="11" fillId="13" borderId="15" applyNumberFormat="0" applyAlignment="0" applyProtection="0"/>
    <xf numFmtId="0" fontId="13" fillId="14" borderId="17" applyNumberFormat="0" applyAlignment="0" applyProtection="0"/>
    <xf numFmtId="0" fontId="15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5" fillId="0" borderId="12" applyNumberFormat="0" applyFill="0" applyAlignment="0" applyProtection="0"/>
    <xf numFmtId="0" fontId="6" fillId="0" borderId="13" applyNumberFormat="0" applyFill="0" applyAlignment="0" applyProtection="0"/>
    <xf numFmtId="0" fontId="7" fillId="0" borderId="14" applyNumberFormat="0" applyFill="0" applyAlignment="0" applyProtection="0"/>
    <xf numFmtId="0" fontId="7" fillId="0" borderId="0" applyNumberFormat="0" applyFill="0" applyBorder="0" applyAlignment="0" applyProtection="0"/>
    <xf numFmtId="0" fontId="12" fillId="0" borderId="16" applyNumberFormat="0" applyFill="0" applyAlignment="0" applyProtection="0"/>
    <xf numFmtId="0" fontId="10" fillId="12" borderId="0" applyNumberFormat="0" applyBorder="0" applyAlignment="0" applyProtection="0"/>
    <xf numFmtId="0" fontId="3" fillId="15" borderId="18" applyNumberFormat="0" applyFont="0" applyAlignment="0" applyProtection="0"/>
    <xf numFmtId="0" fontId="4" fillId="0" borderId="0" applyNumberFormat="0" applyFill="0" applyBorder="0" applyAlignment="0" applyProtection="0"/>
    <xf numFmtId="0" fontId="1" fillId="0" borderId="19" applyNumberFormat="0" applyFill="0" applyAlignment="0" applyProtection="0"/>
    <xf numFmtId="0" fontId="14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129">
    <xf numFmtId="0" fontId="0" fillId="0" borderId="0" xfId="0"/>
    <xf numFmtId="0" fontId="0" fillId="3" borderId="0" xfId="0" applyFill="1"/>
    <xf numFmtId="14" fontId="0" fillId="3" borderId="0" xfId="0" applyNumberFormat="1" applyFill="1"/>
    <xf numFmtId="0" fontId="0" fillId="4" borderId="1" xfId="0" applyFill="1" applyBorder="1"/>
    <xf numFmtId="0" fontId="0" fillId="2" borderId="2" xfId="0" applyFill="1" applyBorder="1"/>
    <xf numFmtId="0" fontId="0" fillId="5" borderId="2" xfId="0" applyFill="1" applyBorder="1"/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2" fillId="6" borderId="0" xfId="0" applyFont="1" applyFill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1" fillId="6" borderId="11" xfId="0" applyFont="1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9" xfId="0" applyFill="1" applyBorder="1"/>
    <xf numFmtId="0" fontId="0" fillId="7" borderId="10" xfId="0" applyFill="1" applyBorder="1"/>
    <xf numFmtId="0" fontId="1" fillId="7" borderId="11" xfId="0" applyFont="1" applyFill="1" applyBorder="1"/>
    <xf numFmtId="0" fontId="2" fillId="7" borderId="0" xfId="0" applyFont="1" applyFill="1"/>
    <xf numFmtId="0" fontId="0" fillId="3" borderId="0" xfId="0" applyFill="1" applyProtection="1"/>
    <xf numFmtId="0" fontId="2" fillId="6" borderId="0" xfId="0" applyFont="1" applyFill="1" applyProtection="1"/>
    <xf numFmtId="0" fontId="0" fillId="4" borderId="0" xfId="0" applyFill="1" applyProtection="1">
      <protection locked="0"/>
    </xf>
    <xf numFmtId="0" fontId="0" fillId="5" borderId="3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165" fontId="0" fillId="6" borderId="0" xfId="0" applyNumberFormat="1" applyFill="1" applyBorder="1"/>
    <xf numFmtId="0" fontId="0" fillId="4" borderId="0" xfId="0" applyFill="1" applyBorder="1" applyProtection="1">
      <protection locked="0"/>
    </xf>
    <xf numFmtId="3" fontId="0" fillId="4" borderId="0" xfId="0" applyNumberFormat="1" applyFill="1" applyBorder="1" applyAlignment="1">
      <alignment horizontal="left"/>
    </xf>
    <xf numFmtId="4" fontId="0" fillId="4" borderId="0" xfId="0" applyNumberFormat="1" applyFill="1" applyBorder="1" applyAlignment="1">
      <alignment horizontal="right"/>
    </xf>
    <xf numFmtId="0" fontId="0" fillId="4" borderId="0" xfId="0" applyFill="1" applyBorder="1"/>
    <xf numFmtId="0" fontId="1" fillId="3" borderId="0" xfId="0" applyFont="1" applyFill="1" applyAlignment="1">
      <alignment horizontal="center"/>
    </xf>
    <xf numFmtId="0" fontId="2" fillId="40" borderId="0" xfId="0" applyFont="1" applyFill="1"/>
    <xf numFmtId="0" fontId="0" fillId="40" borderId="9" xfId="0" applyFill="1" applyBorder="1"/>
    <xf numFmtId="0" fontId="0" fillId="40" borderId="10" xfId="0" applyFill="1" applyBorder="1"/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0" fontId="0" fillId="40" borderId="0" xfId="0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4" fontId="0" fillId="4" borderId="0" xfId="0" applyNumberFormat="1" applyFill="1" applyAlignment="1" applyProtection="1">
      <alignment horizontal="center"/>
      <protection locked="0"/>
    </xf>
    <xf numFmtId="0" fontId="1" fillId="7" borderId="20" xfId="0" applyFont="1" applyFill="1" applyBorder="1"/>
    <xf numFmtId="0" fontId="1" fillId="3" borderId="0" xfId="0" applyFont="1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166" fontId="0" fillId="4" borderId="0" xfId="0" applyNumberFormat="1" applyFill="1" applyBorder="1" applyAlignment="1">
      <alignment horizontal="left"/>
    </xf>
    <xf numFmtId="167" fontId="1" fillId="7" borderId="11" xfId="40" applyNumberFormat="1" applyFont="1" applyFill="1" applyBorder="1"/>
    <xf numFmtId="168" fontId="0" fillId="3" borderId="11" xfId="0" applyNumberFormat="1" applyFill="1" applyBorder="1"/>
    <xf numFmtId="168" fontId="0" fillId="6" borderId="11" xfId="0" applyNumberFormat="1" applyFill="1" applyBorder="1"/>
    <xf numFmtId="0" fontId="0" fillId="4" borderId="20" xfId="0" applyFill="1" applyBorder="1" applyAlignment="1">
      <alignment horizontal="center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0" fontId="0" fillId="41" borderId="1" xfId="0" applyFill="1" applyBorder="1"/>
    <xf numFmtId="0" fontId="0" fillId="41" borderId="2" xfId="0" applyFill="1" applyBorder="1"/>
    <xf numFmtId="0" fontId="0" fillId="41" borderId="3" xfId="0" applyFill="1" applyBorder="1"/>
    <xf numFmtId="0" fontId="0" fillId="41" borderId="4" xfId="0" applyFill="1" applyBorder="1"/>
    <xf numFmtId="0" fontId="0" fillId="41" borderId="0" xfId="0" applyFill="1" applyBorder="1"/>
    <xf numFmtId="0" fontId="0" fillId="41" borderId="5" xfId="0" applyFill="1" applyBorder="1"/>
    <xf numFmtId="0" fontId="0" fillId="41" borderId="6" xfId="0" applyFill="1" applyBorder="1"/>
    <xf numFmtId="0" fontId="0" fillId="41" borderId="7" xfId="0" applyFill="1" applyBorder="1"/>
    <xf numFmtId="0" fontId="0" fillId="41" borderId="8" xfId="0" applyFill="1" applyBorder="1"/>
    <xf numFmtId="0" fontId="1" fillId="4" borderId="1" xfId="0" applyFont="1" applyFill="1" applyBorder="1"/>
    <xf numFmtId="0" fontId="1" fillId="4" borderId="6" xfId="0" applyFont="1" applyFill="1" applyBorder="1"/>
    <xf numFmtId="164" fontId="0" fillId="3" borderId="0" xfId="40" applyFont="1" applyFill="1"/>
    <xf numFmtId="169" fontId="1" fillId="3" borderId="0" xfId="40" applyNumberFormat="1" applyFont="1" applyFill="1"/>
    <xf numFmtId="164" fontId="1" fillId="3" borderId="0" xfId="40" applyNumberFormat="1" applyFont="1" applyFill="1"/>
    <xf numFmtId="164" fontId="0" fillId="3" borderId="9" xfId="40" applyFont="1" applyFill="1" applyBorder="1"/>
    <xf numFmtId="164" fontId="0" fillId="3" borderId="10" xfId="40" applyFont="1" applyFill="1" applyBorder="1"/>
    <xf numFmtId="164" fontId="0" fillId="3" borderId="11" xfId="40" applyFont="1" applyFill="1" applyBorder="1"/>
    <xf numFmtId="0" fontId="0" fillId="2" borderId="9" xfId="0" applyFill="1" applyBorder="1"/>
    <xf numFmtId="0" fontId="1" fillId="2" borderId="11" xfId="0" applyFont="1" applyFill="1" applyBorder="1"/>
    <xf numFmtId="0" fontId="19" fillId="0" borderId="0" xfId="0" applyFont="1"/>
    <xf numFmtId="14" fontId="20" fillId="0" borderId="0" xfId="0" applyNumberFormat="1" applyFont="1" applyAlignment="1">
      <alignment horizontal="left"/>
    </xf>
    <xf numFmtId="14" fontId="21" fillId="0" borderId="0" xfId="0" applyNumberFormat="1" applyFont="1" applyAlignment="1">
      <alignment horizontal="left"/>
    </xf>
    <xf numFmtId="0" fontId="22" fillId="0" borderId="0" xfId="0" applyFont="1" applyAlignment="1">
      <alignment horizontal="left" readingOrder="1"/>
    </xf>
    <xf numFmtId="0" fontId="23" fillId="0" borderId="0" xfId="0" applyFont="1" applyAlignment="1">
      <alignment horizontal="left" readingOrder="1"/>
    </xf>
    <xf numFmtId="0" fontId="24" fillId="0" borderId="0" xfId="0" applyFont="1" applyAlignment="1">
      <alignment horizontal="left" readingOrder="1"/>
    </xf>
    <xf numFmtId="170" fontId="1" fillId="2" borderId="11" xfId="0" applyNumberFormat="1" applyFont="1" applyFill="1" applyBorder="1"/>
    <xf numFmtId="171" fontId="1" fillId="6" borderId="11" xfId="40" applyNumberFormat="1" applyFont="1" applyFill="1" applyBorder="1"/>
    <xf numFmtId="4" fontId="25" fillId="4" borderId="0" xfId="0" applyNumberFormat="1" applyFont="1" applyFill="1" applyBorder="1" applyAlignment="1" applyProtection="1">
      <alignment horizontal="right"/>
      <protection locked="0"/>
    </xf>
    <xf numFmtId="3" fontId="25" fillId="4" borderId="0" xfId="0" applyNumberFormat="1" applyFont="1" applyFill="1" applyBorder="1" applyAlignment="1" applyProtection="1">
      <alignment horizontal="left"/>
      <protection locked="0"/>
    </xf>
    <xf numFmtId="3" fontId="25" fillId="4" borderId="0" xfId="0" applyNumberFormat="1" applyFont="1" applyFill="1" applyBorder="1" applyAlignment="1" applyProtection="1">
      <alignment horizontal="right"/>
      <protection locked="0"/>
    </xf>
    <xf numFmtId="3" fontId="0" fillId="4" borderId="0" xfId="0" applyNumberFormat="1" applyFont="1" applyFill="1" applyBorder="1" applyAlignment="1" applyProtection="1">
      <alignment horizontal="left"/>
      <protection locked="0"/>
    </xf>
    <xf numFmtId="4" fontId="0" fillId="4" borderId="0" xfId="0" applyNumberFormat="1" applyFont="1" applyFill="1" applyBorder="1" applyAlignment="1" applyProtection="1">
      <alignment horizontal="right"/>
      <protection locked="0"/>
    </xf>
    <xf numFmtId="0" fontId="0" fillId="4" borderId="0" xfId="0" applyFont="1" applyFill="1" applyBorder="1" applyProtection="1">
      <protection locked="0"/>
    </xf>
    <xf numFmtId="0" fontId="0" fillId="0" borderId="2" xfId="0" applyBorder="1"/>
    <xf numFmtId="0" fontId="2" fillId="4" borderId="0" xfId="0" applyFont="1" applyFill="1" applyBorder="1"/>
    <xf numFmtId="0" fontId="0" fillId="4" borderId="0" xfId="0" applyFill="1" applyBorder="1" applyAlignment="1">
      <alignment horizontal="left"/>
    </xf>
    <xf numFmtId="0" fontId="1" fillId="4" borderId="0" xfId="0" applyFont="1" applyFill="1" applyBorder="1" applyAlignment="1">
      <alignment horizontal="center"/>
    </xf>
    <xf numFmtId="14" fontId="1" fillId="4" borderId="0" xfId="0" applyNumberFormat="1" applyFont="1" applyFill="1" applyBorder="1" applyAlignment="1">
      <alignment horizontal="center"/>
    </xf>
    <xf numFmtId="0" fontId="0" fillId="4" borderId="23" xfId="0" applyFill="1" applyBorder="1"/>
    <xf numFmtId="14" fontId="0" fillId="5" borderId="23" xfId="0" applyNumberFormat="1" applyFill="1" applyBorder="1" applyAlignment="1">
      <alignment horizontal="center"/>
    </xf>
    <xf numFmtId="0" fontId="0" fillId="4" borderId="0" xfId="0" applyFill="1" applyBorder="1" applyAlignment="1"/>
    <xf numFmtId="0" fontId="1" fillId="4" borderId="23" xfId="0" applyFont="1" applyFill="1" applyBorder="1"/>
    <xf numFmtId="0" fontId="1" fillId="4" borderId="23" xfId="0" applyFont="1" applyFill="1" applyBorder="1" applyAlignment="1">
      <alignment horizontal="center"/>
    </xf>
    <xf numFmtId="0" fontId="0" fillId="4" borderId="23" xfId="0" applyFill="1" applyBorder="1" applyAlignment="1">
      <alignment vertical="center"/>
    </xf>
    <xf numFmtId="0" fontId="0" fillId="4" borderId="23" xfId="0" applyFill="1" applyBorder="1" applyAlignment="1">
      <alignment vertical="center" wrapText="1"/>
    </xf>
    <xf numFmtId="0" fontId="1" fillId="4" borderId="23" xfId="0" applyFont="1" applyFill="1" applyBorder="1" applyAlignment="1">
      <alignment vertical="center"/>
    </xf>
    <xf numFmtId="3" fontId="0" fillId="4" borderId="23" xfId="0" applyNumberFormat="1" applyFill="1" applyBorder="1" applyAlignment="1">
      <alignment horizontal="center" vertical="center"/>
    </xf>
    <xf numFmtId="0" fontId="0" fillId="4" borderId="23" xfId="0" quotePrefix="1" applyFill="1" applyBorder="1" applyAlignment="1">
      <alignment horizontal="center" vertical="center"/>
    </xf>
    <xf numFmtId="0" fontId="0" fillId="4" borderId="23" xfId="4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7" xfId="0" applyNumberFormat="1" applyFill="1" applyBorder="1"/>
    <xf numFmtId="0" fontId="0" fillId="0" borderId="0" xfId="0" applyBorder="1"/>
    <xf numFmtId="0" fontId="0" fillId="0" borderId="0" xfId="0" applyNumberFormat="1" applyBorder="1"/>
    <xf numFmtId="169" fontId="0" fillId="0" borderId="0" xfId="40" applyNumberFormat="1" applyFont="1"/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170" fontId="1" fillId="6" borderId="11" xfId="0" applyNumberFormat="1" applyFont="1" applyFill="1" applyBorder="1"/>
    <xf numFmtId="0" fontId="28" fillId="3" borderId="0" xfId="0" applyFont="1" applyFill="1" applyAlignment="1">
      <alignment horizontal="center" vertical="center" wrapText="1"/>
    </xf>
    <xf numFmtId="0" fontId="0" fillId="4" borderId="0" xfId="0" applyFill="1" applyBorder="1" applyAlignment="1">
      <alignment vertical="center" wrapText="1"/>
    </xf>
    <xf numFmtId="0" fontId="0" fillId="4" borderId="0" xfId="0" applyFill="1" applyAlignment="1">
      <alignment vertical="center"/>
    </xf>
    <xf numFmtId="0" fontId="0" fillId="4" borderId="0" xfId="0" applyFill="1" applyAlignment="1"/>
    <xf numFmtId="0" fontId="1" fillId="4" borderId="23" xfId="0" applyFont="1" applyFill="1" applyBorder="1" applyAlignment="1"/>
    <xf numFmtId="0" fontId="0" fillId="4" borderId="23" xfId="0" applyFill="1" applyBorder="1" applyAlignment="1"/>
    <xf numFmtId="0" fontId="0" fillId="4" borderId="0" xfId="0" applyFill="1" applyBorder="1" applyAlignment="1"/>
    <xf numFmtId="0" fontId="2" fillId="4" borderId="0" xfId="0" applyFont="1" applyFill="1" applyBorder="1" applyAlignment="1"/>
    <xf numFmtId="0" fontId="0" fillId="0" borderId="0" xfId="0" applyAlignment="1"/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</cellXfs>
  <cellStyles count="41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Linked Cell" xfId="34"/>
    <cellStyle name="Migliaia" xfId="40" builtinId="3"/>
    <cellStyle name="Neutral" xfId="35"/>
    <cellStyle name="Normale" xfId="0" builtinId="0"/>
    <cellStyle name="Note" xfId="36"/>
    <cellStyle name="Title" xfId="37"/>
    <cellStyle name="Total" xfId="38"/>
    <cellStyle name="Warning Text" xfId="39"/>
  </cellStyles>
  <dxfs count="11"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99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</xdr:row>
          <xdr:rowOff>180975</xdr:rowOff>
        </xdr:from>
        <xdr:to>
          <xdr:col>4</xdr:col>
          <xdr:colOff>190500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Clear 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180975</xdr:rowOff>
        </xdr:from>
        <xdr:to>
          <xdr:col>4</xdr:col>
          <xdr:colOff>171450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Clear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8</xdr:row>
          <xdr:rowOff>9525</xdr:rowOff>
        </xdr:from>
        <xdr:to>
          <xdr:col>4</xdr:col>
          <xdr:colOff>200025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6</xdr:row>
          <xdr:rowOff>161925</xdr:rowOff>
        </xdr:from>
        <xdr:to>
          <xdr:col>9</xdr:col>
          <xdr:colOff>85725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Importa Quantità per Check Position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</xdr:row>
      <xdr:rowOff>104776</xdr:rowOff>
    </xdr:from>
    <xdr:to>
      <xdr:col>4</xdr:col>
      <xdr:colOff>1123693</xdr:colOff>
      <xdr:row>5</xdr:row>
      <xdr:rowOff>66675</xdr:rowOff>
    </xdr:to>
    <xdr:pic>
      <xdr:nvPicPr>
        <xdr:cNvPr id="6" name="Picture 3" descr="can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52975" y="447676"/>
          <a:ext cx="866518" cy="7334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104775</xdr:colOff>
      <xdr:row>0</xdr:row>
      <xdr:rowOff>57150</xdr:rowOff>
    </xdr:from>
    <xdr:to>
      <xdr:col>1</xdr:col>
      <xdr:colOff>466725</xdr:colOff>
      <xdr:row>12</xdr:row>
      <xdr:rowOff>152400</xdr:rowOff>
    </xdr:to>
    <xdr:sp macro="" textlink="">
      <xdr:nvSpPr>
        <xdr:cNvPr id="7" name="CasellaDiTesto 6"/>
        <xdr:cNvSpPr txBox="1"/>
      </xdr:nvSpPr>
      <xdr:spPr>
        <a:xfrm>
          <a:off x="104775" y="57150"/>
          <a:ext cx="1952625" cy="2600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rtl="0" fontAlgn="base"/>
          <a:r>
            <a:rPr lang="en-US" sz="20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Eni</a:t>
          </a:r>
        </a:p>
        <a:p>
          <a:pPr rtl="0"/>
          <a:r>
            <a:rPr lang="en-US" sz="12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Eni S.p.A.</a:t>
          </a:r>
          <a:endParaRPr lang="en-US" sz="12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Sede legale in Roma,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Piazzale Enrico Mattei 1, 00144 Roma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Tel. centralino: +39 06598.21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www.eni.it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Capitale sociale € 4.005.358.876,00 i.v.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Registro Imprese di Roma,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Codice Fiscale 00484960588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Part. IVA 00905811006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R.E.A. Roma n. 756453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Sede Secondaria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Piazza Vanoni 1</a:t>
          </a:r>
          <a:endParaRPr lang="en-US" sz="900"/>
        </a:p>
        <a:p>
          <a:pPr rtl="0"/>
          <a:r>
            <a:rPr lang="en-US" sz="900" b="0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20097 San Donato Milanese (MI)</a:t>
          </a:r>
          <a:endParaRPr lang="en-US" sz="900"/>
        </a:p>
        <a:p>
          <a:pPr rtl="0" fontAlgn="base"/>
          <a:endParaRPr lang="en-US" sz="1100" b="0" i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K26"/>
  <sheetViews>
    <sheetView workbookViewId="0">
      <selection activeCell="Q10" sqref="Q10"/>
    </sheetView>
  </sheetViews>
  <sheetFormatPr defaultRowHeight="15"/>
  <cols>
    <col min="1" max="7" width="9.140625" style="1"/>
    <col min="8" max="8" width="19.42578125" style="1" bestFit="1" customWidth="1"/>
    <col min="9" max="16384" width="9.140625" style="1"/>
  </cols>
  <sheetData>
    <row r="1" spans="8:11" ht="15.75" thickBot="1">
      <c r="H1" s="1" t="s">
        <v>27</v>
      </c>
    </row>
    <row r="2" spans="8:11">
      <c r="H2" s="3" t="s">
        <v>28</v>
      </c>
      <c r="I2" s="47">
        <v>-5</v>
      </c>
      <c r="J2" s="48"/>
      <c r="K2" s="1" t="s">
        <v>37</v>
      </c>
    </row>
    <row r="3" spans="8:11">
      <c r="H3" s="49" t="s">
        <v>29</v>
      </c>
      <c r="I3" s="35">
        <v>3000</v>
      </c>
      <c r="J3" s="50"/>
    </row>
    <row r="4" spans="8:11" ht="15.75" thickBot="1">
      <c r="H4" s="51"/>
      <c r="I4" s="52"/>
      <c r="J4" s="53"/>
    </row>
    <row r="6" spans="8:11" ht="15.75" thickBot="1"/>
    <row r="7" spans="8:11">
      <c r="H7" s="60"/>
      <c r="I7" s="61"/>
      <c r="J7" s="62"/>
    </row>
    <row r="8" spans="8:11">
      <c r="H8" s="63"/>
      <c r="I8" s="64"/>
      <c r="J8" s="65"/>
    </row>
    <row r="9" spans="8:11">
      <c r="H9" s="63"/>
      <c r="I9" s="64"/>
      <c r="J9" s="65"/>
    </row>
    <row r="10" spans="8:11" ht="15.75" thickBot="1">
      <c r="H10" s="66"/>
      <c r="I10" s="67"/>
      <c r="J10" s="68"/>
    </row>
    <row r="13" spans="8:11" ht="15.75" thickBot="1"/>
    <row r="14" spans="8:11" ht="15.75" thickBot="1">
      <c r="H14" s="1" t="s">
        <v>34</v>
      </c>
      <c r="I14" s="58">
        <v>0</v>
      </c>
    </row>
    <row r="17" spans="1:10">
      <c r="I17" s="1">
        <v>1</v>
      </c>
      <c r="J17" s="1" t="s">
        <v>35</v>
      </c>
    </row>
    <row r="18" spans="1:10">
      <c r="I18" s="1">
        <v>0</v>
      </c>
      <c r="J18" s="1" t="s">
        <v>36</v>
      </c>
    </row>
    <row r="24" spans="1:10" ht="15.75" thickBot="1"/>
    <row r="25" spans="1:10">
      <c r="A25" s="69" t="s">
        <v>39</v>
      </c>
      <c r="B25" s="47"/>
      <c r="C25" s="47" t="str">
        <f>CONCATENATE("G:\MEOR\PROGRAMMAZIONE ",YEAR('Buy summary'!B1),"\BELGIO\Open position\",TEXT('Buy summary'!B1,"mm mmmm"),"\")</f>
        <v>G:\MEOR\PROGRAMMAZIONE 2014\BELGIO\Open position\11 novembre\</v>
      </c>
      <c r="D25" s="47"/>
      <c r="E25" s="47"/>
      <c r="F25" s="47"/>
      <c r="G25" s="47"/>
      <c r="H25" s="48"/>
    </row>
    <row r="26" spans="1:10" ht="15.75" thickBot="1">
      <c r="A26" s="70" t="s">
        <v>38</v>
      </c>
      <c r="B26" s="52"/>
      <c r="C26" s="52" t="str">
        <f>"Open position calculation_v2_" &amp; TEXT('Buy summary'!$B$1,"ggmmaa") &amp; ".xlsm"</f>
        <v>Open position calculation_v2_191114.xlsm</v>
      </c>
      <c r="D26" s="52"/>
      <c r="E26" s="52"/>
      <c r="F26" s="52"/>
      <c r="G26" s="52"/>
      <c r="H26" s="5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</xdr:col>
                    <xdr:colOff>533400</xdr:colOff>
                    <xdr:row>1</xdr:row>
                    <xdr:rowOff>180975</xdr:rowOff>
                  </from>
                  <to>
                    <xdr:col>4</xdr:col>
                    <xdr:colOff>190500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ulsante2_Click">
                <anchor moveWithCells="1" sizeWithCells="1">
                  <from>
                    <xdr:col>1</xdr:col>
                    <xdr:colOff>542925</xdr:colOff>
                    <xdr:row>4</xdr:row>
                    <xdr:rowOff>180975</xdr:rowOff>
                  </from>
                  <to>
                    <xdr:col>4</xdr:col>
                    <xdr:colOff>171450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ulsante3_Click">
                <anchor moveWithCells="1" sizeWithCells="1">
                  <from>
                    <xdr:col>1</xdr:col>
                    <xdr:colOff>542925</xdr:colOff>
                    <xdr:row>8</xdr:row>
                    <xdr:rowOff>9525</xdr:rowOff>
                  </from>
                  <to>
                    <xdr:col>4</xdr:col>
                    <xdr:colOff>200025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raculo">
                <anchor moveWithCells="1" sizeWithCells="1">
                  <from>
                    <xdr:col>7</xdr:col>
                    <xdr:colOff>504825</xdr:colOff>
                    <xdr:row>6</xdr:row>
                    <xdr:rowOff>161925</xdr:rowOff>
                  </from>
                  <to>
                    <xdr:col>9</xdr:col>
                    <xdr:colOff>85725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/>
  <dimension ref="A1:E21"/>
  <sheetViews>
    <sheetView workbookViewId="0">
      <selection activeCell="G13" sqref="G13"/>
    </sheetView>
  </sheetViews>
  <sheetFormatPr defaultRowHeight="15"/>
  <cols>
    <col min="1" max="1" width="23.85546875" customWidth="1"/>
    <col min="2" max="4" width="16.85546875" customWidth="1"/>
    <col min="5" max="5" width="27.140625" bestFit="1" customWidth="1"/>
  </cols>
  <sheetData>
    <row r="1" spans="1:5" ht="27">
      <c r="A1" s="82"/>
    </row>
    <row r="2" spans="1:5" ht="15.75">
      <c r="A2" s="83"/>
    </row>
    <row r="3" spans="1:5">
      <c r="A3" s="84"/>
    </row>
    <row r="4" spans="1:5">
      <c r="A4" s="84"/>
    </row>
    <row r="5" spans="1:5">
      <c r="A5" s="84"/>
    </row>
    <row r="6" spans="1:5">
      <c r="A6" s="84"/>
    </row>
    <row r="7" spans="1:5">
      <c r="A7" s="84"/>
    </row>
    <row r="8" spans="1:5">
      <c r="A8" s="84"/>
    </row>
    <row r="9" spans="1:5" ht="19.5">
      <c r="A9" s="84"/>
      <c r="E9" s="79" t="s">
        <v>44</v>
      </c>
    </row>
    <row r="10" spans="1:5">
      <c r="A10" s="84"/>
    </row>
    <row r="11" spans="1:5">
      <c r="A11" s="84"/>
    </row>
    <row r="12" spans="1:5">
      <c r="A12" s="84"/>
    </row>
    <row r="13" spans="1:5">
      <c r="A13" s="84"/>
    </row>
    <row r="14" spans="1:5">
      <c r="A14" s="84"/>
    </row>
    <row r="15" spans="1:5">
      <c r="A15" s="84"/>
    </row>
    <row r="16" spans="1:5" ht="19.5">
      <c r="A16" s="79" t="s">
        <v>45</v>
      </c>
    </row>
    <row r="17" spans="1:5" ht="19.5">
      <c r="A17" s="79" t="s">
        <v>46</v>
      </c>
      <c r="E17" s="80">
        <f>'Buy summary'!B1-1</f>
        <v>41961</v>
      </c>
    </row>
    <row r="18" spans="1:5" ht="19.5">
      <c r="A18" s="79" t="s">
        <v>47</v>
      </c>
      <c r="B18" s="81">
        <f>'Buy summary'!B1</f>
        <v>41962</v>
      </c>
    </row>
    <row r="20" spans="1:5" ht="19.5">
      <c r="A20" s="79" t="s">
        <v>48</v>
      </c>
    </row>
    <row r="21" spans="1:5" ht="19.5">
      <c r="A21" s="79" t="s">
        <v>49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tabColor rgb="FFFF9999"/>
  </sheetPr>
  <dimension ref="A1:AY48"/>
  <sheetViews>
    <sheetView tabSelected="1" zoomScale="85" zoomScaleNormal="85" workbookViewId="0">
      <selection activeCell="B1" sqref="B1"/>
    </sheetView>
  </sheetViews>
  <sheetFormatPr defaultRowHeight="15"/>
  <cols>
    <col min="1" max="1" width="24.140625" style="1" bestFit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7.42578125" style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1" ht="30">
      <c r="A1" s="1" t="s">
        <v>6</v>
      </c>
      <c r="B1" s="59">
        <v>41962</v>
      </c>
      <c r="D1" s="9" t="s">
        <v>8</v>
      </c>
      <c r="F1" s="114" t="s">
        <v>30</v>
      </c>
      <c r="G1" s="115" t="s">
        <v>98</v>
      </c>
    </row>
    <row r="2" spans="1:51" ht="46.5">
      <c r="B2" s="2"/>
      <c r="F2" s="116" t="str">
        <f>IF(E43=0,"OK","ERRORE")</f>
        <v>OK</v>
      </c>
      <c r="G2" s="118" t="str">
        <f>IF(AND(Verbale!D9&lt;='Buy summary'!B1,'Buy summary'!B1&lt;=Verbale!D10),IF(I2&lt;=10000000,"OK","KO"),"VERBALE KO")</f>
        <v>OK</v>
      </c>
      <c r="H2" s="46" t="s">
        <v>40</v>
      </c>
      <c r="I2" s="72">
        <f>SUM(48:48)</f>
        <v>1995600</v>
      </c>
      <c r="J2" s="1" t="s">
        <v>41</v>
      </c>
    </row>
    <row r="3" spans="1:51" ht="15.75" thickBot="1">
      <c r="B3" s="1" t="s">
        <v>7</v>
      </c>
      <c r="C3" s="1" t="s">
        <v>7</v>
      </c>
    </row>
    <row r="4" spans="1:51">
      <c r="A4" s="3" t="s">
        <v>0</v>
      </c>
      <c r="B4" s="4" t="s">
        <v>1</v>
      </c>
      <c r="C4" s="4" t="s">
        <v>2</v>
      </c>
      <c r="D4" s="5" t="s">
        <v>1</v>
      </c>
      <c r="E4" s="5" t="s">
        <v>2</v>
      </c>
      <c r="F4" s="5" t="s">
        <v>1</v>
      </c>
      <c r="G4" s="5" t="s">
        <v>2</v>
      </c>
      <c r="H4" s="5" t="s">
        <v>1</v>
      </c>
      <c r="I4" s="5" t="s">
        <v>2</v>
      </c>
      <c r="J4" s="5" t="s">
        <v>1</v>
      </c>
      <c r="K4" s="5" t="s">
        <v>2</v>
      </c>
      <c r="L4" s="5" t="s">
        <v>1</v>
      </c>
      <c r="M4" s="5" t="s">
        <v>2</v>
      </c>
      <c r="N4" s="5" t="s">
        <v>1</v>
      </c>
      <c r="O4" s="5" t="s">
        <v>2</v>
      </c>
      <c r="P4" s="5" t="s">
        <v>1</v>
      </c>
      <c r="Q4" s="5" t="s">
        <v>2</v>
      </c>
      <c r="R4" s="5" t="s">
        <v>1</v>
      </c>
      <c r="S4" s="5" t="s">
        <v>2</v>
      </c>
      <c r="T4" s="5" t="s">
        <v>1</v>
      </c>
      <c r="U4" s="5" t="s">
        <v>2</v>
      </c>
      <c r="V4" s="5" t="s">
        <v>1</v>
      </c>
      <c r="W4" s="5" t="s">
        <v>2</v>
      </c>
      <c r="X4" s="5" t="s">
        <v>1</v>
      </c>
      <c r="Y4" s="5" t="s">
        <v>2</v>
      </c>
      <c r="Z4" s="5" t="s">
        <v>1</v>
      </c>
      <c r="AA4" s="5" t="s">
        <v>2</v>
      </c>
      <c r="AB4" s="5" t="s">
        <v>1</v>
      </c>
      <c r="AC4" s="5" t="s">
        <v>2</v>
      </c>
      <c r="AD4" s="5" t="s">
        <v>1</v>
      </c>
      <c r="AE4" s="5" t="s">
        <v>2</v>
      </c>
      <c r="AF4" s="5" t="s">
        <v>1</v>
      </c>
      <c r="AG4" s="5" t="s">
        <v>2</v>
      </c>
      <c r="AH4" s="5" t="s">
        <v>1</v>
      </c>
      <c r="AI4" s="5" t="s">
        <v>2</v>
      </c>
      <c r="AJ4" s="5" t="s">
        <v>1</v>
      </c>
      <c r="AK4" s="5" t="s">
        <v>2</v>
      </c>
      <c r="AL4" s="5" t="s">
        <v>1</v>
      </c>
      <c r="AM4" s="5" t="s">
        <v>2</v>
      </c>
      <c r="AN4" s="5" t="s">
        <v>1</v>
      </c>
      <c r="AO4" s="5" t="s">
        <v>2</v>
      </c>
      <c r="AP4" s="5" t="s">
        <v>1</v>
      </c>
      <c r="AQ4" s="5" t="s">
        <v>2</v>
      </c>
      <c r="AR4" s="5" t="s">
        <v>1</v>
      </c>
      <c r="AS4" s="5" t="s">
        <v>2</v>
      </c>
      <c r="AT4" s="5" t="str">
        <f>'NET buy'!AR4</f>
        <v>Volume (MWh)</v>
      </c>
      <c r="AU4" s="5" t="s">
        <v>2</v>
      </c>
      <c r="AV4" s="5" t="s">
        <v>1</v>
      </c>
      <c r="AW4" s="5" t="s">
        <v>2</v>
      </c>
      <c r="AX4" s="5" t="s">
        <v>1</v>
      </c>
      <c r="AY4" s="24" t="s">
        <v>2</v>
      </c>
    </row>
    <row r="5" spans="1:51">
      <c r="A5" s="6">
        <v>1</v>
      </c>
      <c r="B5" s="31">
        <f>'Check_netting_ETS_G&amp;P'!G5</f>
        <v>0</v>
      </c>
      <c r="C5" s="7">
        <f>IF(B5=0,0,Config!$I$3)</f>
        <v>0</v>
      </c>
      <c r="D5" s="7">
        <f>'NET buy'!B5</f>
        <v>15.2</v>
      </c>
      <c r="E5" s="7">
        <f>IF(Config!$I$14=0,'NET buy'!C5,IF('NET buy'!C5=3000,Config!$I$3,'NET buy'!C5))</f>
        <v>3000</v>
      </c>
      <c r="F5" s="7">
        <f>'NET buy'!D5</f>
        <v>0</v>
      </c>
      <c r="G5" s="7">
        <f>IF(Config!$I$14=0,'NET buy'!E5,IF('NET buy'!E5=3000,Config!$I$3,'NET buy'!E5))</f>
        <v>0</v>
      </c>
      <c r="H5" s="7">
        <f>'NET buy'!F5</f>
        <v>0</v>
      </c>
      <c r="I5" s="7">
        <f>IF(Config!$I$14=0,'NET buy'!G5,IF('NET buy'!G5=3000,Config!$I$3,'NET buy'!G5))</f>
        <v>0</v>
      </c>
      <c r="J5" s="7">
        <f>'NET buy'!H5</f>
        <v>0</v>
      </c>
      <c r="K5" s="7">
        <f>IF(Config!$I$14=0,'NET buy'!I5,IF('NET buy'!I5=3000,Config!$I$3,'NET buy'!I5))</f>
        <v>0</v>
      </c>
      <c r="L5" s="7">
        <f>'NET buy'!J5</f>
        <v>0</v>
      </c>
      <c r="M5" s="7">
        <f>IF(Config!$I$14=0,'NET buy'!K5,IF('NET buy'!K5=3000,Config!$I$3,'NET buy'!K5))</f>
        <v>0</v>
      </c>
      <c r="N5" s="7">
        <f>'NET buy'!L5</f>
        <v>0</v>
      </c>
      <c r="O5" s="7">
        <f>IF(Config!$I$14=0,'NET buy'!M5,IF('NET buy'!M5=3000,Config!$I$3,'NET buy'!M5))</f>
        <v>0</v>
      </c>
      <c r="P5" s="7">
        <f>'NET buy'!N5</f>
        <v>0</v>
      </c>
      <c r="Q5" s="7">
        <f>IF(Config!$I$14=0,'NET buy'!O5,IF('NET buy'!O5=3000,Config!$I$3,'NET buy'!O5))</f>
        <v>0</v>
      </c>
      <c r="R5" s="7">
        <f>'NET buy'!P5</f>
        <v>0</v>
      </c>
      <c r="S5" s="7">
        <f>IF(Config!$I$14=0,'NET buy'!Q5,IF('NET buy'!Q5=3000,Config!$I$3,'NET buy'!Q5))</f>
        <v>0</v>
      </c>
      <c r="T5" s="7">
        <f>'NET buy'!R5</f>
        <v>0</v>
      </c>
      <c r="U5" s="7">
        <f>IF(Config!$I$14=0,'NET buy'!S5,IF('NET buy'!S5=3000,Config!$I$3,'NET buy'!S5))</f>
        <v>0</v>
      </c>
      <c r="V5" s="7">
        <f>'NET buy'!T5</f>
        <v>0</v>
      </c>
      <c r="W5" s="7">
        <f>IF(Config!$I$14=0,'NET buy'!U5,IF('NET buy'!U5=3000,Config!$I$3,'NET buy'!U5))</f>
        <v>0</v>
      </c>
      <c r="X5" s="7">
        <f>'NET buy'!V5</f>
        <v>0</v>
      </c>
      <c r="Y5" s="7">
        <f>IF(Config!$I$14=0,'NET buy'!W5,IF('NET buy'!W5=3000,Config!$I$3,'NET buy'!W5))</f>
        <v>0</v>
      </c>
      <c r="Z5" s="7">
        <f>'NET buy'!X5</f>
        <v>0</v>
      </c>
      <c r="AA5" s="7">
        <f>IF(Config!$I$14=0,'NET buy'!Y5,IF('NET buy'!Y5=3000,Config!$I$3,'NET buy'!Y5))</f>
        <v>0</v>
      </c>
      <c r="AB5" s="7">
        <f>'NET buy'!Z5</f>
        <v>0</v>
      </c>
      <c r="AC5" s="7">
        <f>IF(Config!$I$14=0,'NET buy'!AA5,IF('NET buy'!AA5=3000,Config!$I$3,'NET buy'!AA5))</f>
        <v>0</v>
      </c>
      <c r="AD5" s="7">
        <f>'NET buy'!AB5</f>
        <v>0</v>
      </c>
      <c r="AE5" s="7">
        <f>IF(Config!$I$14=0,'NET buy'!AC5,IF('NET buy'!AC5=3000,Config!$I$3,'NET buy'!AC5))</f>
        <v>0</v>
      </c>
      <c r="AF5" s="7">
        <f>'NET buy'!AD5</f>
        <v>0</v>
      </c>
      <c r="AG5" s="7">
        <f>IF(Config!$I$14=0,'NET buy'!AE5,IF('NET buy'!AE5=3000,Config!$I$3,'NET buy'!AE5))</f>
        <v>0</v>
      </c>
      <c r="AH5" s="7">
        <f>'NET buy'!AF5</f>
        <v>0</v>
      </c>
      <c r="AI5" s="7">
        <f>IF(Config!$I$14=0,'NET buy'!AG5,IF('NET buy'!AG5=3000,Config!$I$3,'NET buy'!AG5))</f>
        <v>0</v>
      </c>
      <c r="AJ5" s="7">
        <f>'NET buy'!AH5</f>
        <v>0</v>
      </c>
      <c r="AK5" s="7">
        <f>IF(Config!$I$14=0,'NET buy'!AI5,IF('NET buy'!AI5=3000,Config!$I$3,'NET buy'!AI5))</f>
        <v>0</v>
      </c>
      <c r="AL5" s="7">
        <f>'NET buy'!AJ5</f>
        <v>0</v>
      </c>
      <c r="AM5" s="7">
        <f>IF(Config!$I$14=0,'NET buy'!AK5,IF('NET buy'!AK5=3000,Config!$I$3,'NET buy'!AK5))</f>
        <v>0</v>
      </c>
      <c r="AN5" s="7">
        <f>'NET buy'!AL5</f>
        <v>0</v>
      </c>
      <c r="AO5" s="7">
        <f>IF(Config!$I$14=0,'NET buy'!AM5,IF('NET buy'!AM5=3000,Config!$I$3,'NET buy'!AM5))</f>
        <v>0</v>
      </c>
      <c r="AP5" s="7">
        <f>'NET buy'!AN5</f>
        <v>0</v>
      </c>
      <c r="AQ5" s="7">
        <f>IF(Config!$I$14=0,'NET buy'!AO5,IF('NET buy'!AO5=3000,Config!$I$3,'NET buy'!AO5))</f>
        <v>0</v>
      </c>
      <c r="AR5" s="7">
        <f>'NET buy'!AP5</f>
        <v>0</v>
      </c>
      <c r="AS5" s="7">
        <f>IF(Config!$I$14=0,'NET buy'!AQ5,IF('NET buy'!AQ5=3000,Config!$I$3,'NET buy'!AQ5))</f>
        <v>0</v>
      </c>
      <c r="AT5" s="7">
        <f>'NET buy'!AR5</f>
        <v>0</v>
      </c>
      <c r="AU5" s="7">
        <f>IF(Config!$I$14=0,'NET buy'!AS5,IF('NET buy'!AS5=3000,Config!$I$3,'NET buy'!AS5))</f>
        <v>0</v>
      </c>
      <c r="AV5" s="7">
        <f>'NET buy'!AT5</f>
        <v>0</v>
      </c>
      <c r="AW5" s="7">
        <f>IF(Config!$I$14=0,'NET buy'!AU5,IF('NET buy'!AU5=3000,Config!$I$3,'NET buy'!AU5))</f>
        <v>0</v>
      </c>
      <c r="AX5" s="7">
        <f>'NET buy'!AV5</f>
        <v>0</v>
      </c>
      <c r="AY5" s="8">
        <f>IF(Config!$I$14=0,'NET buy'!AW5,IF('NET buy'!AW5=3000,Config!$I$3,'NET buy'!AW5))</f>
        <v>0</v>
      </c>
    </row>
    <row r="6" spans="1:51">
      <c r="A6" s="6">
        <v>2</v>
      </c>
      <c r="B6" s="31">
        <f>'Check_netting_ETS_G&amp;P'!G6</f>
        <v>0</v>
      </c>
      <c r="C6" s="7">
        <f>IF(B6=0,0,Config!$I$3)</f>
        <v>0</v>
      </c>
      <c r="D6" s="7">
        <f>'NET buy'!B6</f>
        <v>15.2</v>
      </c>
      <c r="E6" s="7">
        <f>IF(Config!$I$14=0,'NET buy'!C6,IF('NET buy'!C6=3000,Config!$I$3,'NET buy'!C6))</f>
        <v>3000</v>
      </c>
      <c r="F6" s="7">
        <f>'NET buy'!D6</f>
        <v>0</v>
      </c>
      <c r="G6" s="7">
        <f>IF(Config!$I$14=0,'NET buy'!E6,IF('NET buy'!E6=3000,Config!$I$3,'NET buy'!E6))</f>
        <v>0</v>
      </c>
      <c r="H6" s="7">
        <f>'NET buy'!F6</f>
        <v>0</v>
      </c>
      <c r="I6" s="7">
        <f>IF(Config!$I$14=0,'NET buy'!G6,IF('NET buy'!G6=3000,Config!$I$3,'NET buy'!G6))</f>
        <v>0</v>
      </c>
      <c r="J6" s="7">
        <f>'NET buy'!H6</f>
        <v>0</v>
      </c>
      <c r="K6" s="7">
        <f>IF(Config!$I$14=0,'NET buy'!I6,IF('NET buy'!I6=3000,Config!$I$3,'NET buy'!I6))</f>
        <v>0</v>
      </c>
      <c r="L6" s="7">
        <f>'NET buy'!J6</f>
        <v>0</v>
      </c>
      <c r="M6" s="7">
        <f>IF(Config!$I$14=0,'NET buy'!K6,IF('NET buy'!K6=3000,Config!$I$3,'NET buy'!K6))</f>
        <v>0</v>
      </c>
      <c r="N6" s="7">
        <f>'NET buy'!L6</f>
        <v>0</v>
      </c>
      <c r="O6" s="7">
        <f>IF(Config!$I$14=0,'NET buy'!M6,IF('NET buy'!M6=3000,Config!$I$3,'NET buy'!M6))</f>
        <v>0</v>
      </c>
      <c r="P6" s="7">
        <f>'NET buy'!N6</f>
        <v>0</v>
      </c>
      <c r="Q6" s="7">
        <f>IF(Config!$I$14=0,'NET buy'!O6,IF('NET buy'!O6=3000,Config!$I$3,'NET buy'!O6))</f>
        <v>0</v>
      </c>
      <c r="R6" s="7">
        <f>'NET buy'!P6</f>
        <v>0</v>
      </c>
      <c r="S6" s="7">
        <f>IF(Config!$I$14=0,'NET buy'!Q6,IF('NET buy'!Q6=3000,Config!$I$3,'NET buy'!Q6))</f>
        <v>0</v>
      </c>
      <c r="T6" s="7">
        <f>'NET buy'!R6</f>
        <v>0</v>
      </c>
      <c r="U6" s="7">
        <f>IF(Config!$I$14=0,'NET buy'!S6,IF('NET buy'!S6=3000,Config!$I$3,'NET buy'!S6))</f>
        <v>0</v>
      </c>
      <c r="V6" s="7">
        <f>'NET buy'!T6</f>
        <v>0</v>
      </c>
      <c r="W6" s="7">
        <f>IF(Config!$I$14=0,'NET buy'!U6,IF('NET buy'!U6=3000,Config!$I$3,'NET buy'!U6))</f>
        <v>0</v>
      </c>
      <c r="X6" s="7">
        <f>'NET buy'!V6</f>
        <v>0</v>
      </c>
      <c r="Y6" s="7">
        <f>IF(Config!$I$14=0,'NET buy'!W6,IF('NET buy'!W6=3000,Config!$I$3,'NET buy'!W6))</f>
        <v>0</v>
      </c>
      <c r="Z6" s="7">
        <f>'NET buy'!X6</f>
        <v>0</v>
      </c>
      <c r="AA6" s="7">
        <f>IF(Config!$I$14=0,'NET buy'!Y6,IF('NET buy'!Y6=3000,Config!$I$3,'NET buy'!Y6))</f>
        <v>0</v>
      </c>
      <c r="AB6" s="7">
        <f>'NET buy'!Z6</f>
        <v>0</v>
      </c>
      <c r="AC6" s="7">
        <f>IF(Config!$I$14=0,'NET buy'!AA6,IF('NET buy'!AA6=3000,Config!$I$3,'NET buy'!AA6))</f>
        <v>0</v>
      </c>
      <c r="AD6" s="7">
        <f>'NET buy'!AB6</f>
        <v>0</v>
      </c>
      <c r="AE6" s="7">
        <f>IF(Config!$I$14=0,'NET buy'!AC6,IF('NET buy'!AC6=3000,Config!$I$3,'NET buy'!AC6))</f>
        <v>0</v>
      </c>
      <c r="AF6" s="7">
        <f>'NET buy'!AD6</f>
        <v>0</v>
      </c>
      <c r="AG6" s="7">
        <f>IF(Config!$I$14=0,'NET buy'!AE6,IF('NET buy'!AE6=3000,Config!$I$3,'NET buy'!AE6))</f>
        <v>0</v>
      </c>
      <c r="AH6" s="7">
        <f>'NET buy'!AF6</f>
        <v>0</v>
      </c>
      <c r="AI6" s="7">
        <f>IF(Config!$I$14=0,'NET buy'!AG6,IF('NET buy'!AG6=3000,Config!$I$3,'NET buy'!AG6))</f>
        <v>0</v>
      </c>
      <c r="AJ6" s="7">
        <f>'NET buy'!AH6</f>
        <v>0</v>
      </c>
      <c r="AK6" s="7">
        <f>IF(Config!$I$14=0,'NET buy'!AI6,IF('NET buy'!AI6=3000,Config!$I$3,'NET buy'!AI6))</f>
        <v>0</v>
      </c>
      <c r="AL6" s="7">
        <f>'NET buy'!AJ6</f>
        <v>0</v>
      </c>
      <c r="AM6" s="7">
        <f>IF(Config!$I$14=0,'NET buy'!AK6,IF('NET buy'!AK6=3000,Config!$I$3,'NET buy'!AK6))</f>
        <v>0</v>
      </c>
      <c r="AN6" s="7">
        <f>'NET buy'!AL6</f>
        <v>0</v>
      </c>
      <c r="AO6" s="7">
        <f>IF(Config!$I$14=0,'NET buy'!AM6,IF('NET buy'!AM6=3000,Config!$I$3,'NET buy'!AM6))</f>
        <v>0</v>
      </c>
      <c r="AP6" s="7">
        <f>'NET buy'!AN6</f>
        <v>0</v>
      </c>
      <c r="AQ6" s="7">
        <f>IF(Config!$I$14=0,'NET buy'!AO6,IF('NET buy'!AO6=3000,Config!$I$3,'NET buy'!AO6))</f>
        <v>0</v>
      </c>
      <c r="AR6" s="7">
        <f>'NET buy'!AP6</f>
        <v>0</v>
      </c>
      <c r="AS6" s="7">
        <f>IF(Config!$I$14=0,'NET buy'!AQ6,IF('NET buy'!AQ6=3000,Config!$I$3,'NET buy'!AQ6))</f>
        <v>0</v>
      </c>
      <c r="AT6" s="7">
        <f>'NET buy'!AR6</f>
        <v>0</v>
      </c>
      <c r="AU6" s="7">
        <f>IF(Config!$I$14=0,'NET buy'!AS6,IF('NET buy'!AS6=3000,Config!$I$3,'NET buy'!AS6))</f>
        <v>0</v>
      </c>
      <c r="AV6" s="7">
        <f>'NET buy'!AT6</f>
        <v>0</v>
      </c>
      <c r="AW6" s="7">
        <f>IF(Config!$I$14=0,'NET buy'!AU6,IF('NET buy'!AU6=3000,Config!$I$3,'NET buy'!AU6))</f>
        <v>0</v>
      </c>
      <c r="AX6" s="7">
        <f>'NET buy'!AV6</f>
        <v>0</v>
      </c>
      <c r="AY6" s="8">
        <f>IF(Config!$I$14=0,'NET buy'!AW6,IF('NET buy'!AW6=3000,Config!$I$3,'NET buy'!AW6))</f>
        <v>0</v>
      </c>
    </row>
    <row r="7" spans="1:51">
      <c r="A7" s="6">
        <v>3</v>
      </c>
      <c r="B7" s="31">
        <f>'Check_netting_ETS_G&amp;P'!G7</f>
        <v>0</v>
      </c>
      <c r="C7" s="7">
        <f>IF(B7=0,0,Config!$I$3)</f>
        <v>0</v>
      </c>
      <c r="D7" s="7">
        <f>'NET buy'!B7</f>
        <v>15.7</v>
      </c>
      <c r="E7" s="7">
        <f>IF(Config!$I$14=0,'NET buy'!C7,IF('NET buy'!C7=3000,Config!$I$3,'NET buy'!C7))</f>
        <v>3000</v>
      </c>
      <c r="F7" s="7">
        <f>'NET buy'!D7</f>
        <v>0</v>
      </c>
      <c r="G7" s="7">
        <f>IF(Config!$I$14=0,'NET buy'!E7,IF('NET buy'!E7=3000,Config!$I$3,'NET buy'!E7))</f>
        <v>0</v>
      </c>
      <c r="H7" s="7">
        <f>'NET buy'!F7</f>
        <v>0</v>
      </c>
      <c r="I7" s="7">
        <f>IF(Config!$I$14=0,'NET buy'!G7,IF('NET buy'!G7=3000,Config!$I$3,'NET buy'!G7))</f>
        <v>0</v>
      </c>
      <c r="J7" s="7">
        <f>'NET buy'!H7</f>
        <v>0</v>
      </c>
      <c r="K7" s="7">
        <f>IF(Config!$I$14=0,'NET buy'!I7,IF('NET buy'!I7=3000,Config!$I$3,'NET buy'!I7))</f>
        <v>0</v>
      </c>
      <c r="L7" s="7">
        <f>'NET buy'!J7</f>
        <v>0</v>
      </c>
      <c r="M7" s="7">
        <f>IF(Config!$I$14=0,'NET buy'!K7,IF('NET buy'!K7=3000,Config!$I$3,'NET buy'!K7))</f>
        <v>0</v>
      </c>
      <c r="N7" s="7">
        <f>'NET buy'!L7</f>
        <v>0</v>
      </c>
      <c r="O7" s="7">
        <f>IF(Config!$I$14=0,'NET buy'!M7,IF('NET buy'!M7=3000,Config!$I$3,'NET buy'!M7))</f>
        <v>0</v>
      </c>
      <c r="P7" s="7">
        <f>'NET buy'!N7</f>
        <v>0</v>
      </c>
      <c r="Q7" s="7">
        <f>IF(Config!$I$14=0,'NET buy'!O7,IF('NET buy'!O7=3000,Config!$I$3,'NET buy'!O7))</f>
        <v>0</v>
      </c>
      <c r="R7" s="7">
        <f>'NET buy'!P7</f>
        <v>0</v>
      </c>
      <c r="S7" s="7">
        <f>IF(Config!$I$14=0,'NET buy'!Q7,IF('NET buy'!Q7=3000,Config!$I$3,'NET buy'!Q7))</f>
        <v>0</v>
      </c>
      <c r="T7" s="7">
        <f>'NET buy'!R7</f>
        <v>0</v>
      </c>
      <c r="U7" s="7">
        <f>IF(Config!$I$14=0,'NET buy'!S7,IF('NET buy'!S7=3000,Config!$I$3,'NET buy'!S7))</f>
        <v>0</v>
      </c>
      <c r="V7" s="7">
        <f>'NET buy'!T7</f>
        <v>0</v>
      </c>
      <c r="W7" s="7">
        <f>IF(Config!$I$14=0,'NET buy'!U7,IF('NET buy'!U7=3000,Config!$I$3,'NET buy'!U7))</f>
        <v>0</v>
      </c>
      <c r="X7" s="7">
        <f>'NET buy'!V7</f>
        <v>0</v>
      </c>
      <c r="Y7" s="7">
        <f>IF(Config!$I$14=0,'NET buy'!W7,IF('NET buy'!W7=3000,Config!$I$3,'NET buy'!W7))</f>
        <v>0</v>
      </c>
      <c r="Z7" s="7">
        <f>'NET buy'!X7</f>
        <v>0</v>
      </c>
      <c r="AA7" s="7">
        <f>IF(Config!$I$14=0,'NET buy'!Y7,IF('NET buy'!Y7=3000,Config!$I$3,'NET buy'!Y7))</f>
        <v>0</v>
      </c>
      <c r="AB7" s="7">
        <f>'NET buy'!Z7</f>
        <v>0</v>
      </c>
      <c r="AC7" s="7">
        <f>IF(Config!$I$14=0,'NET buy'!AA7,IF('NET buy'!AA7=3000,Config!$I$3,'NET buy'!AA7))</f>
        <v>0</v>
      </c>
      <c r="AD7" s="7">
        <f>'NET buy'!AB7</f>
        <v>0</v>
      </c>
      <c r="AE7" s="7">
        <f>IF(Config!$I$14=0,'NET buy'!AC7,IF('NET buy'!AC7=3000,Config!$I$3,'NET buy'!AC7))</f>
        <v>0</v>
      </c>
      <c r="AF7" s="7">
        <f>'NET buy'!AD7</f>
        <v>0</v>
      </c>
      <c r="AG7" s="7">
        <f>IF(Config!$I$14=0,'NET buy'!AE7,IF('NET buy'!AE7=3000,Config!$I$3,'NET buy'!AE7))</f>
        <v>0</v>
      </c>
      <c r="AH7" s="7">
        <f>'NET buy'!AF7</f>
        <v>0</v>
      </c>
      <c r="AI7" s="7">
        <f>IF(Config!$I$14=0,'NET buy'!AG7,IF('NET buy'!AG7=3000,Config!$I$3,'NET buy'!AG7))</f>
        <v>0</v>
      </c>
      <c r="AJ7" s="7">
        <f>'NET buy'!AH7</f>
        <v>0</v>
      </c>
      <c r="AK7" s="7">
        <f>IF(Config!$I$14=0,'NET buy'!AI7,IF('NET buy'!AI7=3000,Config!$I$3,'NET buy'!AI7))</f>
        <v>0</v>
      </c>
      <c r="AL7" s="7">
        <f>'NET buy'!AJ7</f>
        <v>0</v>
      </c>
      <c r="AM7" s="7">
        <f>IF(Config!$I$14=0,'NET buy'!AK7,IF('NET buy'!AK7=3000,Config!$I$3,'NET buy'!AK7))</f>
        <v>0</v>
      </c>
      <c r="AN7" s="7">
        <f>'NET buy'!AL7</f>
        <v>0</v>
      </c>
      <c r="AO7" s="7">
        <f>IF(Config!$I$14=0,'NET buy'!AM7,IF('NET buy'!AM7=3000,Config!$I$3,'NET buy'!AM7))</f>
        <v>0</v>
      </c>
      <c r="AP7" s="7">
        <f>'NET buy'!AN7</f>
        <v>0</v>
      </c>
      <c r="AQ7" s="7">
        <f>IF(Config!$I$14=0,'NET buy'!AO7,IF('NET buy'!AO7=3000,Config!$I$3,'NET buy'!AO7))</f>
        <v>0</v>
      </c>
      <c r="AR7" s="7">
        <f>'NET buy'!AP7</f>
        <v>0</v>
      </c>
      <c r="AS7" s="7">
        <f>IF(Config!$I$14=0,'NET buy'!AQ7,IF('NET buy'!AQ7=3000,Config!$I$3,'NET buy'!AQ7))</f>
        <v>0</v>
      </c>
      <c r="AT7" s="7">
        <f>'NET buy'!AR7</f>
        <v>0</v>
      </c>
      <c r="AU7" s="7">
        <f>IF(Config!$I$14=0,'NET buy'!AS7,IF('NET buy'!AS7=3000,Config!$I$3,'NET buy'!AS7))</f>
        <v>0</v>
      </c>
      <c r="AV7" s="7">
        <f>'NET buy'!AT7</f>
        <v>0</v>
      </c>
      <c r="AW7" s="7">
        <f>IF(Config!$I$14=0,'NET buy'!AU7,IF('NET buy'!AU7=3000,Config!$I$3,'NET buy'!AU7))</f>
        <v>0</v>
      </c>
      <c r="AX7" s="7">
        <f>'NET buy'!AV7</f>
        <v>0</v>
      </c>
      <c r="AY7" s="8">
        <f>IF(Config!$I$14=0,'NET buy'!AW7,IF('NET buy'!AW7=3000,Config!$I$3,'NET buy'!AW7))</f>
        <v>0</v>
      </c>
    </row>
    <row r="8" spans="1:51">
      <c r="A8" s="6">
        <v>4</v>
      </c>
      <c r="B8" s="31">
        <f>'Check_netting_ETS_G&amp;P'!G8</f>
        <v>0</v>
      </c>
      <c r="C8" s="7">
        <f>IF(B8=0,0,Config!$I$3)</f>
        <v>0</v>
      </c>
      <c r="D8" s="7">
        <f>'NET buy'!B8</f>
        <v>16.5</v>
      </c>
      <c r="E8" s="7">
        <f>IF(Config!$I$14=0,'NET buy'!C8,IF('NET buy'!C8=3000,Config!$I$3,'NET buy'!C8))</f>
        <v>3000</v>
      </c>
      <c r="F8" s="7">
        <f>'NET buy'!D8</f>
        <v>0</v>
      </c>
      <c r="G8" s="7">
        <f>IF(Config!$I$14=0,'NET buy'!E8,IF('NET buy'!E8=3000,Config!$I$3,'NET buy'!E8))</f>
        <v>0</v>
      </c>
      <c r="H8" s="7">
        <f>'NET buy'!F8</f>
        <v>0</v>
      </c>
      <c r="I8" s="7">
        <f>IF(Config!$I$14=0,'NET buy'!G8,IF('NET buy'!G8=3000,Config!$I$3,'NET buy'!G8))</f>
        <v>0</v>
      </c>
      <c r="J8" s="7">
        <f>'NET buy'!H8</f>
        <v>0</v>
      </c>
      <c r="K8" s="7">
        <f>IF(Config!$I$14=0,'NET buy'!I8,IF('NET buy'!I8=3000,Config!$I$3,'NET buy'!I8))</f>
        <v>0</v>
      </c>
      <c r="L8" s="7">
        <f>'NET buy'!J8</f>
        <v>0</v>
      </c>
      <c r="M8" s="7">
        <f>IF(Config!$I$14=0,'NET buy'!K8,IF('NET buy'!K8=3000,Config!$I$3,'NET buy'!K8))</f>
        <v>0</v>
      </c>
      <c r="N8" s="7">
        <f>'NET buy'!L8</f>
        <v>0</v>
      </c>
      <c r="O8" s="7">
        <f>IF(Config!$I$14=0,'NET buy'!M8,IF('NET buy'!M8=3000,Config!$I$3,'NET buy'!M8))</f>
        <v>0</v>
      </c>
      <c r="P8" s="7">
        <f>'NET buy'!N8</f>
        <v>0</v>
      </c>
      <c r="Q8" s="7">
        <f>IF(Config!$I$14=0,'NET buy'!O8,IF('NET buy'!O8=3000,Config!$I$3,'NET buy'!O8))</f>
        <v>0</v>
      </c>
      <c r="R8" s="7">
        <f>'NET buy'!P8</f>
        <v>0</v>
      </c>
      <c r="S8" s="7">
        <f>IF(Config!$I$14=0,'NET buy'!Q8,IF('NET buy'!Q8=3000,Config!$I$3,'NET buy'!Q8))</f>
        <v>0</v>
      </c>
      <c r="T8" s="7">
        <f>'NET buy'!R8</f>
        <v>0</v>
      </c>
      <c r="U8" s="7">
        <f>IF(Config!$I$14=0,'NET buy'!S8,IF('NET buy'!S8=3000,Config!$I$3,'NET buy'!S8))</f>
        <v>0</v>
      </c>
      <c r="V8" s="7">
        <f>'NET buy'!T8</f>
        <v>0</v>
      </c>
      <c r="W8" s="7">
        <f>IF(Config!$I$14=0,'NET buy'!U8,IF('NET buy'!U8=3000,Config!$I$3,'NET buy'!U8))</f>
        <v>0</v>
      </c>
      <c r="X8" s="7">
        <f>'NET buy'!V8</f>
        <v>0</v>
      </c>
      <c r="Y8" s="7">
        <f>IF(Config!$I$14=0,'NET buy'!W8,IF('NET buy'!W8=3000,Config!$I$3,'NET buy'!W8))</f>
        <v>0</v>
      </c>
      <c r="Z8" s="7">
        <f>'NET buy'!X8</f>
        <v>0</v>
      </c>
      <c r="AA8" s="7">
        <f>IF(Config!$I$14=0,'NET buy'!Y8,IF('NET buy'!Y8=3000,Config!$I$3,'NET buy'!Y8))</f>
        <v>0</v>
      </c>
      <c r="AB8" s="7">
        <f>'NET buy'!Z8</f>
        <v>0</v>
      </c>
      <c r="AC8" s="7">
        <f>IF(Config!$I$14=0,'NET buy'!AA8,IF('NET buy'!AA8=3000,Config!$I$3,'NET buy'!AA8))</f>
        <v>0</v>
      </c>
      <c r="AD8" s="7">
        <f>'NET buy'!AB8</f>
        <v>0</v>
      </c>
      <c r="AE8" s="7">
        <f>IF(Config!$I$14=0,'NET buy'!AC8,IF('NET buy'!AC8=3000,Config!$I$3,'NET buy'!AC8))</f>
        <v>0</v>
      </c>
      <c r="AF8" s="7">
        <f>'NET buy'!AD8</f>
        <v>0</v>
      </c>
      <c r="AG8" s="7">
        <f>IF(Config!$I$14=0,'NET buy'!AE8,IF('NET buy'!AE8=3000,Config!$I$3,'NET buy'!AE8))</f>
        <v>0</v>
      </c>
      <c r="AH8" s="7">
        <f>'NET buy'!AF8</f>
        <v>0</v>
      </c>
      <c r="AI8" s="7">
        <f>IF(Config!$I$14=0,'NET buy'!AG8,IF('NET buy'!AG8=3000,Config!$I$3,'NET buy'!AG8))</f>
        <v>0</v>
      </c>
      <c r="AJ8" s="7">
        <f>'NET buy'!AH8</f>
        <v>0</v>
      </c>
      <c r="AK8" s="7">
        <f>IF(Config!$I$14=0,'NET buy'!AI8,IF('NET buy'!AI8=3000,Config!$I$3,'NET buy'!AI8))</f>
        <v>0</v>
      </c>
      <c r="AL8" s="7">
        <f>'NET buy'!AJ8</f>
        <v>0</v>
      </c>
      <c r="AM8" s="7">
        <f>IF(Config!$I$14=0,'NET buy'!AK8,IF('NET buy'!AK8=3000,Config!$I$3,'NET buy'!AK8))</f>
        <v>0</v>
      </c>
      <c r="AN8" s="7">
        <f>'NET buy'!AL8</f>
        <v>0</v>
      </c>
      <c r="AO8" s="7">
        <f>IF(Config!$I$14=0,'NET buy'!AM8,IF('NET buy'!AM8=3000,Config!$I$3,'NET buy'!AM8))</f>
        <v>0</v>
      </c>
      <c r="AP8" s="7">
        <f>'NET buy'!AN8</f>
        <v>0</v>
      </c>
      <c r="AQ8" s="7">
        <f>IF(Config!$I$14=0,'NET buy'!AO8,IF('NET buy'!AO8=3000,Config!$I$3,'NET buy'!AO8))</f>
        <v>0</v>
      </c>
      <c r="AR8" s="7">
        <f>'NET buy'!AP8</f>
        <v>0</v>
      </c>
      <c r="AS8" s="7">
        <f>IF(Config!$I$14=0,'NET buy'!AQ8,IF('NET buy'!AQ8=3000,Config!$I$3,'NET buy'!AQ8))</f>
        <v>0</v>
      </c>
      <c r="AT8" s="7">
        <f>'NET buy'!AR8</f>
        <v>0</v>
      </c>
      <c r="AU8" s="7">
        <f>IF(Config!$I$14=0,'NET buy'!AS8,IF('NET buy'!AS8=3000,Config!$I$3,'NET buy'!AS8))</f>
        <v>0</v>
      </c>
      <c r="AV8" s="7">
        <f>'NET buy'!AT8</f>
        <v>0</v>
      </c>
      <c r="AW8" s="7">
        <f>IF(Config!$I$14=0,'NET buy'!AU8,IF('NET buy'!AU8=3000,Config!$I$3,'NET buy'!AU8))</f>
        <v>0</v>
      </c>
      <c r="AX8" s="7">
        <f>'NET buy'!AV8</f>
        <v>0</v>
      </c>
      <c r="AY8" s="8">
        <f>IF(Config!$I$14=0,'NET buy'!AW8,IF('NET buy'!AW8=3000,Config!$I$3,'NET buy'!AW8))</f>
        <v>0</v>
      </c>
    </row>
    <row r="9" spans="1:51">
      <c r="A9" s="6">
        <v>5</v>
      </c>
      <c r="B9" s="31">
        <f>'Check_netting_ETS_G&amp;P'!G9</f>
        <v>0</v>
      </c>
      <c r="C9" s="7">
        <f>IF(B9=0,0,Config!$I$3)</f>
        <v>0</v>
      </c>
      <c r="D9" s="7">
        <f>'NET buy'!B9</f>
        <v>16.5</v>
      </c>
      <c r="E9" s="7">
        <f>IF(Config!$I$14=0,'NET buy'!C9,IF('NET buy'!C9=3000,Config!$I$3,'NET buy'!C9))</f>
        <v>3000</v>
      </c>
      <c r="F9" s="7">
        <f>'NET buy'!D9</f>
        <v>0</v>
      </c>
      <c r="G9" s="7">
        <f>IF(Config!$I$14=0,'NET buy'!E9,IF('NET buy'!E9=3000,Config!$I$3,'NET buy'!E9))</f>
        <v>0</v>
      </c>
      <c r="H9" s="7">
        <f>'NET buy'!F9</f>
        <v>0</v>
      </c>
      <c r="I9" s="7">
        <f>IF(Config!$I$14=0,'NET buy'!G9,IF('NET buy'!G9=3000,Config!$I$3,'NET buy'!G9))</f>
        <v>0</v>
      </c>
      <c r="J9" s="7">
        <f>'NET buy'!H9</f>
        <v>0</v>
      </c>
      <c r="K9" s="7">
        <f>IF(Config!$I$14=0,'NET buy'!I9,IF('NET buy'!I9=3000,Config!$I$3,'NET buy'!I9))</f>
        <v>0</v>
      </c>
      <c r="L9" s="7">
        <f>'NET buy'!J9</f>
        <v>0</v>
      </c>
      <c r="M9" s="7">
        <f>IF(Config!$I$14=0,'NET buy'!K9,IF('NET buy'!K9=3000,Config!$I$3,'NET buy'!K9))</f>
        <v>0</v>
      </c>
      <c r="N9" s="7">
        <f>'NET buy'!L9</f>
        <v>0</v>
      </c>
      <c r="O9" s="7">
        <f>IF(Config!$I$14=0,'NET buy'!M9,IF('NET buy'!M9=3000,Config!$I$3,'NET buy'!M9))</f>
        <v>0</v>
      </c>
      <c r="P9" s="7">
        <f>'NET buy'!N9</f>
        <v>0</v>
      </c>
      <c r="Q9" s="7">
        <f>IF(Config!$I$14=0,'NET buy'!O9,IF('NET buy'!O9=3000,Config!$I$3,'NET buy'!O9))</f>
        <v>0</v>
      </c>
      <c r="R9" s="7">
        <f>'NET buy'!P9</f>
        <v>0</v>
      </c>
      <c r="S9" s="7">
        <f>IF(Config!$I$14=0,'NET buy'!Q9,IF('NET buy'!Q9=3000,Config!$I$3,'NET buy'!Q9))</f>
        <v>0</v>
      </c>
      <c r="T9" s="7">
        <f>'NET buy'!R9</f>
        <v>0</v>
      </c>
      <c r="U9" s="7">
        <f>IF(Config!$I$14=0,'NET buy'!S9,IF('NET buy'!S9=3000,Config!$I$3,'NET buy'!S9))</f>
        <v>0</v>
      </c>
      <c r="V9" s="7">
        <f>'NET buy'!T9</f>
        <v>0</v>
      </c>
      <c r="W9" s="7">
        <f>IF(Config!$I$14=0,'NET buy'!U9,IF('NET buy'!U9=3000,Config!$I$3,'NET buy'!U9))</f>
        <v>0</v>
      </c>
      <c r="X9" s="7">
        <f>'NET buy'!V9</f>
        <v>0</v>
      </c>
      <c r="Y9" s="7">
        <f>IF(Config!$I$14=0,'NET buy'!W9,IF('NET buy'!W9=3000,Config!$I$3,'NET buy'!W9))</f>
        <v>0</v>
      </c>
      <c r="Z9" s="7">
        <f>'NET buy'!X9</f>
        <v>0</v>
      </c>
      <c r="AA9" s="7">
        <f>IF(Config!$I$14=0,'NET buy'!Y9,IF('NET buy'!Y9=3000,Config!$I$3,'NET buy'!Y9))</f>
        <v>0</v>
      </c>
      <c r="AB9" s="7">
        <f>'NET buy'!Z9</f>
        <v>0</v>
      </c>
      <c r="AC9" s="7">
        <f>IF(Config!$I$14=0,'NET buy'!AA9,IF('NET buy'!AA9=3000,Config!$I$3,'NET buy'!AA9))</f>
        <v>0</v>
      </c>
      <c r="AD9" s="7">
        <f>'NET buy'!AB9</f>
        <v>0</v>
      </c>
      <c r="AE9" s="7">
        <f>IF(Config!$I$14=0,'NET buy'!AC9,IF('NET buy'!AC9=3000,Config!$I$3,'NET buy'!AC9))</f>
        <v>0</v>
      </c>
      <c r="AF9" s="7">
        <f>'NET buy'!AD9</f>
        <v>0</v>
      </c>
      <c r="AG9" s="7">
        <f>IF(Config!$I$14=0,'NET buy'!AE9,IF('NET buy'!AE9=3000,Config!$I$3,'NET buy'!AE9))</f>
        <v>0</v>
      </c>
      <c r="AH9" s="7">
        <f>'NET buy'!AF9</f>
        <v>0</v>
      </c>
      <c r="AI9" s="7">
        <f>IF(Config!$I$14=0,'NET buy'!AG9,IF('NET buy'!AG9=3000,Config!$I$3,'NET buy'!AG9))</f>
        <v>0</v>
      </c>
      <c r="AJ9" s="7">
        <f>'NET buy'!AH9</f>
        <v>0</v>
      </c>
      <c r="AK9" s="7">
        <f>IF(Config!$I$14=0,'NET buy'!AI9,IF('NET buy'!AI9=3000,Config!$I$3,'NET buy'!AI9))</f>
        <v>0</v>
      </c>
      <c r="AL9" s="7">
        <f>'NET buy'!AJ9</f>
        <v>0</v>
      </c>
      <c r="AM9" s="7">
        <f>IF(Config!$I$14=0,'NET buy'!AK9,IF('NET buy'!AK9=3000,Config!$I$3,'NET buy'!AK9))</f>
        <v>0</v>
      </c>
      <c r="AN9" s="7">
        <f>'NET buy'!AL9</f>
        <v>0</v>
      </c>
      <c r="AO9" s="7">
        <f>IF(Config!$I$14=0,'NET buy'!AM9,IF('NET buy'!AM9=3000,Config!$I$3,'NET buy'!AM9))</f>
        <v>0</v>
      </c>
      <c r="AP9" s="7">
        <f>'NET buy'!AN9</f>
        <v>0</v>
      </c>
      <c r="AQ9" s="7">
        <f>IF(Config!$I$14=0,'NET buy'!AO9,IF('NET buy'!AO9=3000,Config!$I$3,'NET buy'!AO9))</f>
        <v>0</v>
      </c>
      <c r="AR9" s="7">
        <f>'NET buy'!AP9</f>
        <v>0</v>
      </c>
      <c r="AS9" s="7">
        <f>IF(Config!$I$14=0,'NET buy'!AQ9,IF('NET buy'!AQ9=3000,Config!$I$3,'NET buy'!AQ9))</f>
        <v>0</v>
      </c>
      <c r="AT9" s="7">
        <f>'NET buy'!AR9</f>
        <v>0</v>
      </c>
      <c r="AU9" s="7">
        <f>IF(Config!$I$14=0,'NET buy'!AS9,IF('NET buy'!AS9=3000,Config!$I$3,'NET buy'!AS9))</f>
        <v>0</v>
      </c>
      <c r="AV9" s="7">
        <f>'NET buy'!AT9</f>
        <v>0</v>
      </c>
      <c r="AW9" s="7">
        <f>IF(Config!$I$14=0,'NET buy'!AU9,IF('NET buy'!AU9=3000,Config!$I$3,'NET buy'!AU9))</f>
        <v>0</v>
      </c>
      <c r="AX9" s="7">
        <f>'NET buy'!AV9</f>
        <v>0</v>
      </c>
      <c r="AY9" s="8">
        <f>IF(Config!$I$14=0,'NET buy'!AW9,IF('NET buy'!AW9=3000,Config!$I$3,'NET buy'!AW9))</f>
        <v>0</v>
      </c>
    </row>
    <row r="10" spans="1:51">
      <c r="A10" s="6">
        <v>6</v>
      </c>
      <c r="B10" s="31">
        <f>'Check_netting_ETS_G&amp;P'!G10</f>
        <v>0</v>
      </c>
      <c r="C10" s="7">
        <f>IF(B10=0,0,Config!$I$3)</f>
        <v>0</v>
      </c>
      <c r="D10" s="7">
        <f>'NET buy'!B10</f>
        <v>16.5</v>
      </c>
      <c r="E10" s="7">
        <f>IF(Config!$I$14=0,'NET buy'!C10,IF('NET buy'!C10=3000,Config!$I$3,'NET buy'!C10))</f>
        <v>3000</v>
      </c>
      <c r="F10" s="7">
        <f>'NET buy'!D10</f>
        <v>0</v>
      </c>
      <c r="G10" s="7">
        <f>IF(Config!$I$14=0,'NET buy'!E10,IF('NET buy'!E10=3000,Config!$I$3,'NET buy'!E10))</f>
        <v>0</v>
      </c>
      <c r="H10" s="7">
        <f>'NET buy'!F10</f>
        <v>0</v>
      </c>
      <c r="I10" s="7">
        <f>IF(Config!$I$14=0,'NET buy'!G10,IF('NET buy'!G10=3000,Config!$I$3,'NET buy'!G10))</f>
        <v>0</v>
      </c>
      <c r="J10" s="7">
        <f>'NET buy'!H10</f>
        <v>0</v>
      </c>
      <c r="K10" s="7">
        <f>IF(Config!$I$14=0,'NET buy'!I10,IF('NET buy'!I10=3000,Config!$I$3,'NET buy'!I10))</f>
        <v>0</v>
      </c>
      <c r="L10" s="7">
        <f>'NET buy'!J10</f>
        <v>0</v>
      </c>
      <c r="M10" s="7">
        <f>IF(Config!$I$14=0,'NET buy'!K10,IF('NET buy'!K10=3000,Config!$I$3,'NET buy'!K10))</f>
        <v>0</v>
      </c>
      <c r="N10" s="7">
        <f>'NET buy'!L10</f>
        <v>0</v>
      </c>
      <c r="O10" s="7">
        <f>IF(Config!$I$14=0,'NET buy'!M10,IF('NET buy'!M10=3000,Config!$I$3,'NET buy'!M10))</f>
        <v>0</v>
      </c>
      <c r="P10" s="7">
        <f>'NET buy'!N10</f>
        <v>0</v>
      </c>
      <c r="Q10" s="7">
        <f>IF(Config!$I$14=0,'NET buy'!O10,IF('NET buy'!O10=3000,Config!$I$3,'NET buy'!O10))</f>
        <v>0</v>
      </c>
      <c r="R10" s="7">
        <f>'NET buy'!P10</f>
        <v>0</v>
      </c>
      <c r="S10" s="7">
        <f>IF(Config!$I$14=0,'NET buy'!Q10,IF('NET buy'!Q10=3000,Config!$I$3,'NET buy'!Q10))</f>
        <v>0</v>
      </c>
      <c r="T10" s="7">
        <f>'NET buy'!R10</f>
        <v>0</v>
      </c>
      <c r="U10" s="7">
        <f>IF(Config!$I$14=0,'NET buy'!S10,IF('NET buy'!S10=3000,Config!$I$3,'NET buy'!S10))</f>
        <v>0</v>
      </c>
      <c r="V10" s="7">
        <f>'NET buy'!T10</f>
        <v>0</v>
      </c>
      <c r="W10" s="7">
        <f>IF(Config!$I$14=0,'NET buy'!U10,IF('NET buy'!U10=3000,Config!$I$3,'NET buy'!U10))</f>
        <v>0</v>
      </c>
      <c r="X10" s="7">
        <f>'NET buy'!V10</f>
        <v>0</v>
      </c>
      <c r="Y10" s="7">
        <f>IF(Config!$I$14=0,'NET buy'!W10,IF('NET buy'!W10=3000,Config!$I$3,'NET buy'!W10))</f>
        <v>0</v>
      </c>
      <c r="Z10" s="7">
        <f>'NET buy'!X10</f>
        <v>0</v>
      </c>
      <c r="AA10" s="7">
        <f>IF(Config!$I$14=0,'NET buy'!Y10,IF('NET buy'!Y10=3000,Config!$I$3,'NET buy'!Y10))</f>
        <v>0</v>
      </c>
      <c r="AB10" s="7">
        <f>'NET buy'!Z10</f>
        <v>0</v>
      </c>
      <c r="AC10" s="7">
        <f>IF(Config!$I$14=0,'NET buy'!AA10,IF('NET buy'!AA10=3000,Config!$I$3,'NET buy'!AA10))</f>
        <v>0</v>
      </c>
      <c r="AD10" s="7">
        <f>'NET buy'!AB10</f>
        <v>0</v>
      </c>
      <c r="AE10" s="7">
        <f>IF(Config!$I$14=0,'NET buy'!AC10,IF('NET buy'!AC10=3000,Config!$I$3,'NET buy'!AC10))</f>
        <v>0</v>
      </c>
      <c r="AF10" s="7">
        <f>'NET buy'!AD10</f>
        <v>0</v>
      </c>
      <c r="AG10" s="7">
        <f>IF(Config!$I$14=0,'NET buy'!AE10,IF('NET buy'!AE10=3000,Config!$I$3,'NET buy'!AE10))</f>
        <v>0</v>
      </c>
      <c r="AH10" s="7">
        <f>'NET buy'!AF10</f>
        <v>0</v>
      </c>
      <c r="AI10" s="7">
        <f>IF(Config!$I$14=0,'NET buy'!AG10,IF('NET buy'!AG10=3000,Config!$I$3,'NET buy'!AG10))</f>
        <v>0</v>
      </c>
      <c r="AJ10" s="7">
        <f>'NET buy'!AH10</f>
        <v>0</v>
      </c>
      <c r="AK10" s="7">
        <f>IF(Config!$I$14=0,'NET buy'!AI10,IF('NET buy'!AI10=3000,Config!$I$3,'NET buy'!AI10))</f>
        <v>0</v>
      </c>
      <c r="AL10" s="7">
        <f>'NET buy'!AJ10</f>
        <v>0</v>
      </c>
      <c r="AM10" s="7">
        <f>IF(Config!$I$14=0,'NET buy'!AK10,IF('NET buy'!AK10=3000,Config!$I$3,'NET buy'!AK10))</f>
        <v>0</v>
      </c>
      <c r="AN10" s="7">
        <f>'NET buy'!AL10</f>
        <v>0</v>
      </c>
      <c r="AO10" s="7">
        <f>IF(Config!$I$14=0,'NET buy'!AM10,IF('NET buy'!AM10=3000,Config!$I$3,'NET buy'!AM10))</f>
        <v>0</v>
      </c>
      <c r="AP10" s="7">
        <f>'NET buy'!AN10</f>
        <v>0</v>
      </c>
      <c r="AQ10" s="7">
        <f>IF(Config!$I$14=0,'NET buy'!AO10,IF('NET buy'!AO10=3000,Config!$I$3,'NET buy'!AO10))</f>
        <v>0</v>
      </c>
      <c r="AR10" s="7">
        <f>'NET buy'!AP10</f>
        <v>0</v>
      </c>
      <c r="AS10" s="7">
        <f>IF(Config!$I$14=0,'NET buy'!AQ10,IF('NET buy'!AQ10=3000,Config!$I$3,'NET buy'!AQ10))</f>
        <v>0</v>
      </c>
      <c r="AT10" s="7">
        <f>'NET buy'!AR10</f>
        <v>0</v>
      </c>
      <c r="AU10" s="7">
        <f>IF(Config!$I$14=0,'NET buy'!AS10,IF('NET buy'!AS10=3000,Config!$I$3,'NET buy'!AS10))</f>
        <v>0</v>
      </c>
      <c r="AV10" s="7">
        <f>'NET buy'!AT10</f>
        <v>0</v>
      </c>
      <c r="AW10" s="7">
        <f>IF(Config!$I$14=0,'NET buy'!AU10,IF('NET buy'!AU10=3000,Config!$I$3,'NET buy'!AU10))</f>
        <v>0</v>
      </c>
      <c r="AX10" s="7">
        <f>'NET buy'!AV10</f>
        <v>0</v>
      </c>
      <c r="AY10" s="8">
        <f>IF(Config!$I$14=0,'NET buy'!AW10,IF('NET buy'!AW10=3000,Config!$I$3,'NET buy'!AW10))</f>
        <v>0</v>
      </c>
    </row>
    <row r="11" spans="1:51">
      <c r="A11" s="6">
        <v>7</v>
      </c>
      <c r="B11" s="31">
        <f>'Check_netting_ETS_G&amp;P'!G11</f>
        <v>0</v>
      </c>
      <c r="C11" s="7">
        <f>IF(B11=0,0,Config!$I$3)</f>
        <v>0</v>
      </c>
      <c r="D11" s="7">
        <f>'NET buy'!B11</f>
        <v>16.5</v>
      </c>
      <c r="E11" s="7">
        <f>IF(Config!$I$14=0,'NET buy'!C11,IF('NET buy'!C11=3000,Config!$I$3,'NET buy'!C11))</f>
        <v>3000</v>
      </c>
      <c r="F11" s="7">
        <f>'NET buy'!D11</f>
        <v>0</v>
      </c>
      <c r="G11" s="7">
        <f>IF(Config!$I$14=0,'NET buy'!E11,IF('NET buy'!E11=3000,Config!$I$3,'NET buy'!E11))</f>
        <v>0</v>
      </c>
      <c r="H11" s="7">
        <f>'NET buy'!F11</f>
        <v>0</v>
      </c>
      <c r="I11" s="7">
        <f>IF(Config!$I$14=0,'NET buy'!G11,IF('NET buy'!G11=3000,Config!$I$3,'NET buy'!G11))</f>
        <v>0</v>
      </c>
      <c r="J11" s="7">
        <f>'NET buy'!H11</f>
        <v>0</v>
      </c>
      <c r="K11" s="7">
        <f>IF(Config!$I$14=0,'NET buy'!I11,IF('NET buy'!I11=3000,Config!$I$3,'NET buy'!I11))</f>
        <v>0</v>
      </c>
      <c r="L11" s="7">
        <f>'NET buy'!J11</f>
        <v>0</v>
      </c>
      <c r="M11" s="7">
        <f>IF(Config!$I$14=0,'NET buy'!K11,IF('NET buy'!K11=3000,Config!$I$3,'NET buy'!K11))</f>
        <v>0</v>
      </c>
      <c r="N11" s="7">
        <f>'NET buy'!L11</f>
        <v>0</v>
      </c>
      <c r="O11" s="7">
        <f>IF(Config!$I$14=0,'NET buy'!M11,IF('NET buy'!M11=3000,Config!$I$3,'NET buy'!M11))</f>
        <v>0</v>
      </c>
      <c r="P11" s="7">
        <f>'NET buy'!N11</f>
        <v>0</v>
      </c>
      <c r="Q11" s="7">
        <f>IF(Config!$I$14=0,'NET buy'!O11,IF('NET buy'!O11=3000,Config!$I$3,'NET buy'!O11))</f>
        <v>0</v>
      </c>
      <c r="R11" s="7">
        <f>'NET buy'!P11</f>
        <v>0</v>
      </c>
      <c r="S11" s="7">
        <f>IF(Config!$I$14=0,'NET buy'!Q11,IF('NET buy'!Q11=3000,Config!$I$3,'NET buy'!Q11))</f>
        <v>0</v>
      </c>
      <c r="T11" s="7">
        <f>'NET buy'!R11</f>
        <v>0</v>
      </c>
      <c r="U11" s="7">
        <f>IF(Config!$I$14=0,'NET buy'!S11,IF('NET buy'!S11=3000,Config!$I$3,'NET buy'!S11))</f>
        <v>0</v>
      </c>
      <c r="V11" s="7">
        <f>'NET buy'!T11</f>
        <v>0</v>
      </c>
      <c r="W11" s="7">
        <f>IF(Config!$I$14=0,'NET buy'!U11,IF('NET buy'!U11=3000,Config!$I$3,'NET buy'!U11))</f>
        <v>0</v>
      </c>
      <c r="X11" s="7">
        <f>'NET buy'!V11</f>
        <v>0</v>
      </c>
      <c r="Y11" s="7">
        <f>IF(Config!$I$14=0,'NET buy'!W11,IF('NET buy'!W11=3000,Config!$I$3,'NET buy'!W11))</f>
        <v>0</v>
      </c>
      <c r="Z11" s="7">
        <f>'NET buy'!X11</f>
        <v>0</v>
      </c>
      <c r="AA11" s="7">
        <f>IF(Config!$I$14=0,'NET buy'!Y11,IF('NET buy'!Y11=3000,Config!$I$3,'NET buy'!Y11))</f>
        <v>0</v>
      </c>
      <c r="AB11" s="7">
        <f>'NET buy'!Z11</f>
        <v>0</v>
      </c>
      <c r="AC11" s="7">
        <f>IF(Config!$I$14=0,'NET buy'!AA11,IF('NET buy'!AA11=3000,Config!$I$3,'NET buy'!AA11))</f>
        <v>0</v>
      </c>
      <c r="AD11" s="7">
        <f>'NET buy'!AB11</f>
        <v>0</v>
      </c>
      <c r="AE11" s="7">
        <f>IF(Config!$I$14=0,'NET buy'!AC11,IF('NET buy'!AC11=3000,Config!$I$3,'NET buy'!AC11))</f>
        <v>0</v>
      </c>
      <c r="AF11" s="7">
        <f>'NET buy'!AD11</f>
        <v>0</v>
      </c>
      <c r="AG11" s="7">
        <f>IF(Config!$I$14=0,'NET buy'!AE11,IF('NET buy'!AE11=3000,Config!$I$3,'NET buy'!AE11))</f>
        <v>0</v>
      </c>
      <c r="AH11" s="7">
        <f>'NET buy'!AF11</f>
        <v>0</v>
      </c>
      <c r="AI11" s="7">
        <f>IF(Config!$I$14=0,'NET buy'!AG11,IF('NET buy'!AG11=3000,Config!$I$3,'NET buy'!AG11))</f>
        <v>0</v>
      </c>
      <c r="AJ11" s="7">
        <f>'NET buy'!AH11</f>
        <v>0</v>
      </c>
      <c r="AK11" s="7">
        <f>IF(Config!$I$14=0,'NET buy'!AI11,IF('NET buy'!AI11=3000,Config!$I$3,'NET buy'!AI11))</f>
        <v>0</v>
      </c>
      <c r="AL11" s="7">
        <f>'NET buy'!AJ11</f>
        <v>0</v>
      </c>
      <c r="AM11" s="7">
        <f>IF(Config!$I$14=0,'NET buy'!AK11,IF('NET buy'!AK11=3000,Config!$I$3,'NET buy'!AK11))</f>
        <v>0</v>
      </c>
      <c r="AN11" s="7">
        <f>'NET buy'!AL11</f>
        <v>0</v>
      </c>
      <c r="AO11" s="7">
        <f>IF(Config!$I$14=0,'NET buy'!AM11,IF('NET buy'!AM11=3000,Config!$I$3,'NET buy'!AM11))</f>
        <v>0</v>
      </c>
      <c r="AP11" s="7">
        <f>'NET buy'!AN11</f>
        <v>0</v>
      </c>
      <c r="AQ11" s="7">
        <f>IF(Config!$I$14=0,'NET buy'!AO11,IF('NET buy'!AO11=3000,Config!$I$3,'NET buy'!AO11))</f>
        <v>0</v>
      </c>
      <c r="AR11" s="7">
        <f>'NET buy'!AP11</f>
        <v>0</v>
      </c>
      <c r="AS11" s="7">
        <f>IF(Config!$I$14=0,'NET buy'!AQ11,IF('NET buy'!AQ11=3000,Config!$I$3,'NET buy'!AQ11))</f>
        <v>0</v>
      </c>
      <c r="AT11" s="7">
        <f>'NET buy'!AR11</f>
        <v>0</v>
      </c>
      <c r="AU11" s="7">
        <f>IF(Config!$I$14=0,'NET buy'!AS11,IF('NET buy'!AS11=3000,Config!$I$3,'NET buy'!AS11))</f>
        <v>0</v>
      </c>
      <c r="AV11" s="7">
        <f>'NET buy'!AT11</f>
        <v>0</v>
      </c>
      <c r="AW11" s="7">
        <f>IF(Config!$I$14=0,'NET buy'!AU11,IF('NET buy'!AU11=3000,Config!$I$3,'NET buy'!AU11))</f>
        <v>0</v>
      </c>
      <c r="AX11" s="7">
        <f>'NET buy'!AV11</f>
        <v>0</v>
      </c>
      <c r="AY11" s="8">
        <f>IF(Config!$I$14=0,'NET buy'!AW11,IF('NET buy'!AW11=3000,Config!$I$3,'NET buy'!AW11))</f>
        <v>0</v>
      </c>
    </row>
    <row r="12" spans="1:51">
      <c r="A12" s="6">
        <v>8</v>
      </c>
      <c r="B12" s="31">
        <f>'Check_netting_ETS_G&amp;P'!G12</f>
        <v>0</v>
      </c>
      <c r="C12" s="7">
        <f>IF(B12=0,0,Config!$I$3)</f>
        <v>0</v>
      </c>
      <c r="D12" s="7">
        <f>'NET buy'!B12</f>
        <v>28.8</v>
      </c>
      <c r="E12" s="7">
        <f>IF(Config!$I$14=0,'NET buy'!C12,IF('NET buy'!C12=3000,Config!$I$3,'NET buy'!C12))</f>
        <v>3000</v>
      </c>
      <c r="F12" s="7">
        <f>'NET buy'!D12</f>
        <v>0</v>
      </c>
      <c r="G12" s="7">
        <f>IF(Config!$I$14=0,'NET buy'!E12,IF('NET buy'!E12=3000,Config!$I$3,'NET buy'!E12))</f>
        <v>0</v>
      </c>
      <c r="H12" s="7">
        <f>'NET buy'!F12</f>
        <v>0</v>
      </c>
      <c r="I12" s="7">
        <f>IF(Config!$I$14=0,'NET buy'!G12,IF('NET buy'!G12=3000,Config!$I$3,'NET buy'!G12))</f>
        <v>0</v>
      </c>
      <c r="J12" s="7">
        <f>'NET buy'!H12</f>
        <v>0</v>
      </c>
      <c r="K12" s="7">
        <f>IF(Config!$I$14=0,'NET buy'!I12,IF('NET buy'!I12=3000,Config!$I$3,'NET buy'!I12))</f>
        <v>0</v>
      </c>
      <c r="L12" s="7">
        <f>'NET buy'!J12</f>
        <v>0</v>
      </c>
      <c r="M12" s="7">
        <f>IF(Config!$I$14=0,'NET buy'!K12,IF('NET buy'!K12=3000,Config!$I$3,'NET buy'!K12))</f>
        <v>0</v>
      </c>
      <c r="N12" s="7">
        <f>'NET buy'!L12</f>
        <v>0</v>
      </c>
      <c r="O12" s="7">
        <f>IF(Config!$I$14=0,'NET buy'!M12,IF('NET buy'!M12=3000,Config!$I$3,'NET buy'!M12))</f>
        <v>0</v>
      </c>
      <c r="P12" s="7">
        <f>'NET buy'!N12</f>
        <v>0</v>
      </c>
      <c r="Q12" s="7">
        <f>IF(Config!$I$14=0,'NET buy'!O12,IF('NET buy'!O12=3000,Config!$I$3,'NET buy'!O12))</f>
        <v>0</v>
      </c>
      <c r="R12" s="7">
        <f>'NET buy'!P12</f>
        <v>0</v>
      </c>
      <c r="S12" s="7">
        <f>IF(Config!$I$14=0,'NET buy'!Q12,IF('NET buy'!Q12=3000,Config!$I$3,'NET buy'!Q12))</f>
        <v>0</v>
      </c>
      <c r="T12" s="7">
        <f>'NET buy'!R12</f>
        <v>0</v>
      </c>
      <c r="U12" s="7">
        <f>IF(Config!$I$14=0,'NET buy'!S12,IF('NET buy'!S12=3000,Config!$I$3,'NET buy'!S12))</f>
        <v>0</v>
      </c>
      <c r="V12" s="7">
        <f>'NET buy'!T12</f>
        <v>0</v>
      </c>
      <c r="W12" s="7">
        <f>IF(Config!$I$14=0,'NET buy'!U12,IF('NET buy'!U12=3000,Config!$I$3,'NET buy'!U12))</f>
        <v>0</v>
      </c>
      <c r="X12" s="7">
        <f>'NET buy'!V12</f>
        <v>0</v>
      </c>
      <c r="Y12" s="7">
        <f>IF(Config!$I$14=0,'NET buy'!W12,IF('NET buy'!W12=3000,Config!$I$3,'NET buy'!W12))</f>
        <v>0</v>
      </c>
      <c r="Z12" s="7">
        <f>'NET buy'!X12</f>
        <v>0</v>
      </c>
      <c r="AA12" s="7">
        <f>IF(Config!$I$14=0,'NET buy'!Y12,IF('NET buy'!Y12=3000,Config!$I$3,'NET buy'!Y12))</f>
        <v>0</v>
      </c>
      <c r="AB12" s="7">
        <f>'NET buy'!Z12</f>
        <v>0</v>
      </c>
      <c r="AC12" s="7">
        <f>IF(Config!$I$14=0,'NET buy'!AA12,IF('NET buy'!AA12=3000,Config!$I$3,'NET buy'!AA12))</f>
        <v>0</v>
      </c>
      <c r="AD12" s="7">
        <f>'NET buy'!AB12</f>
        <v>0</v>
      </c>
      <c r="AE12" s="7">
        <f>IF(Config!$I$14=0,'NET buy'!AC12,IF('NET buy'!AC12=3000,Config!$I$3,'NET buy'!AC12))</f>
        <v>0</v>
      </c>
      <c r="AF12" s="7">
        <f>'NET buy'!AD12</f>
        <v>0</v>
      </c>
      <c r="AG12" s="7">
        <f>IF(Config!$I$14=0,'NET buy'!AE12,IF('NET buy'!AE12=3000,Config!$I$3,'NET buy'!AE12))</f>
        <v>0</v>
      </c>
      <c r="AH12" s="7">
        <f>'NET buy'!AF12</f>
        <v>0</v>
      </c>
      <c r="AI12" s="7">
        <f>IF(Config!$I$14=0,'NET buy'!AG12,IF('NET buy'!AG12=3000,Config!$I$3,'NET buy'!AG12))</f>
        <v>0</v>
      </c>
      <c r="AJ12" s="7">
        <f>'NET buy'!AH12</f>
        <v>0</v>
      </c>
      <c r="AK12" s="7">
        <f>IF(Config!$I$14=0,'NET buy'!AI12,IF('NET buy'!AI12=3000,Config!$I$3,'NET buy'!AI12))</f>
        <v>0</v>
      </c>
      <c r="AL12" s="7">
        <f>'NET buy'!AJ12</f>
        <v>0</v>
      </c>
      <c r="AM12" s="7">
        <f>IF(Config!$I$14=0,'NET buy'!AK12,IF('NET buy'!AK12=3000,Config!$I$3,'NET buy'!AK12))</f>
        <v>0</v>
      </c>
      <c r="AN12" s="7">
        <f>'NET buy'!AL12</f>
        <v>0</v>
      </c>
      <c r="AO12" s="7">
        <f>IF(Config!$I$14=0,'NET buy'!AM12,IF('NET buy'!AM12=3000,Config!$I$3,'NET buy'!AM12))</f>
        <v>0</v>
      </c>
      <c r="AP12" s="7">
        <f>'NET buy'!AN12</f>
        <v>0</v>
      </c>
      <c r="AQ12" s="7">
        <f>IF(Config!$I$14=0,'NET buy'!AO12,IF('NET buy'!AO12=3000,Config!$I$3,'NET buy'!AO12))</f>
        <v>0</v>
      </c>
      <c r="AR12" s="7">
        <f>'NET buy'!AP12</f>
        <v>0</v>
      </c>
      <c r="AS12" s="7">
        <f>IF(Config!$I$14=0,'NET buy'!AQ12,IF('NET buy'!AQ12=3000,Config!$I$3,'NET buy'!AQ12))</f>
        <v>0</v>
      </c>
      <c r="AT12" s="7">
        <f>'NET buy'!AR12</f>
        <v>0</v>
      </c>
      <c r="AU12" s="7">
        <f>IF(Config!$I$14=0,'NET buy'!AS12,IF('NET buy'!AS12=3000,Config!$I$3,'NET buy'!AS12))</f>
        <v>0</v>
      </c>
      <c r="AV12" s="7">
        <f>'NET buy'!AT12</f>
        <v>0</v>
      </c>
      <c r="AW12" s="7">
        <f>IF(Config!$I$14=0,'NET buy'!AU12,IF('NET buy'!AU12=3000,Config!$I$3,'NET buy'!AU12))</f>
        <v>0</v>
      </c>
      <c r="AX12" s="7">
        <f>'NET buy'!AV12</f>
        <v>0</v>
      </c>
      <c r="AY12" s="8">
        <f>IF(Config!$I$14=0,'NET buy'!AW12,IF('NET buy'!AW12=3000,Config!$I$3,'NET buy'!AW12))</f>
        <v>0</v>
      </c>
    </row>
    <row r="13" spans="1:51">
      <c r="A13" s="6">
        <v>9</v>
      </c>
      <c r="B13" s="31">
        <f>'Check_netting_ETS_G&amp;P'!G13</f>
        <v>0</v>
      </c>
      <c r="C13" s="7">
        <f>IF(B13=0,0,Config!$I$3)</f>
        <v>0</v>
      </c>
      <c r="D13" s="7">
        <f>'NET buy'!B13</f>
        <v>32.5</v>
      </c>
      <c r="E13" s="7">
        <f>IF(Config!$I$14=0,'NET buy'!C13,IF('NET buy'!C13=3000,Config!$I$3,'NET buy'!C13))</f>
        <v>3000</v>
      </c>
      <c r="F13" s="7">
        <f>'NET buy'!D13</f>
        <v>0</v>
      </c>
      <c r="G13" s="7">
        <f>IF(Config!$I$14=0,'NET buy'!E13,IF('NET buy'!E13=3000,Config!$I$3,'NET buy'!E13))</f>
        <v>0</v>
      </c>
      <c r="H13" s="7">
        <f>'NET buy'!F13</f>
        <v>0</v>
      </c>
      <c r="I13" s="7">
        <f>IF(Config!$I$14=0,'NET buy'!G13,IF('NET buy'!G13=3000,Config!$I$3,'NET buy'!G13))</f>
        <v>0</v>
      </c>
      <c r="J13" s="7">
        <f>'NET buy'!H13</f>
        <v>0</v>
      </c>
      <c r="K13" s="7">
        <f>IF(Config!$I$14=0,'NET buy'!I13,IF('NET buy'!I13=3000,Config!$I$3,'NET buy'!I13))</f>
        <v>0</v>
      </c>
      <c r="L13" s="7">
        <f>'NET buy'!J13</f>
        <v>0</v>
      </c>
      <c r="M13" s="7">
        <f>IF(Config!$I$14=0,'NET buy'!K13,IF('NET buy'!K13=3000,Config!$I$3,'NET buy'!K13))</f>
        <v>0</v>
      </c>
      <c r="N13" s="7">
        <f>'NET buy'!L13</f>
        <v>0</v>
      </c>
      <c r="O13" s="7">
        <f>IF(Config!$I$14=0,'NET buy'!M13,IF('NET buy'!M13=3000,Config!$I$3,'NET buy'!M13))</f>
        <v>0</v>
      </c>
      <c r="P13" s="7">
        <f>'NET buy'!N13</f>
        <v>0</v>
      </c>
      <c r="Q13" s="7">
        <f>IF(Config!$I$14=0,'NET buy'!O13,IF('NET buy'!O13=3000,Config!$I$3,'NET buy'!O13))</f>
        <v>0</v>
      </c>
      <c r="R13" s="7">
        <f>'NET buy'!P13</f>
        <v>0</v>
      </c>
      <c r="S13" s="7">
        <f>IF(Config!$I$14=0,'NET buy'!Q13,IF('NET buy'!Q13=3000,Config!$I$3,'NET buy'!Q13))</f>
        <v>0</v>
      </c>
      <c r="T13" s="7">
        <f>'NET buy'!R13</f>
        <v>0</v>
      </c>
      <c r="U13" s="7">
        <f>IF(Config!$I$14=0,'NET buy'!S13,IF('NET buy'!S13=3000,Config!$I$3,'NET buy'!S13))</f>
        <v>0</v>
      </c>
      <c r="V13" s="7">
        <f>'NET buy'!T13</f>
        <v>0</v>
      </c>
      <c r="W13" s="7">
        <f>IF(Config!$I$14=0,'NET buy'!U13,IF('NET buy'!U13=3000,Config!$I$3,'NET buy'!U13))</f>
        <v>0</v>
      </c>
      <c r="X13" s="7">
        <f>'NET buy'!V13</f>
        <v>0</v>
      </c>
      <c r="Y13" s="7">
        <f>IF(Config!$I$14=0,'NET buy'!W13,IF('NET buy'!W13=3000,Config!$I$3,'NET buy'!W13))</f>
        <v>0</v>
      </c>
      <c r="Z13" s="7">
        <f>'NET buy'!X13</f>
        <v>0</v>
      </c>
      <c r="AA13" s="7">
        <f>IF(Config!$I$14=0,'NET buy'!Y13,IF('NET buy'!Y13=3000,Config!$I$3,'NET buy'!Y13))</f>
        <v>0</v>
      </c>
      <c r="AB13" s="7">
        <f>'NET buy'!Z13</f>
        <v>0</v>
      </c>
      <c r="AC13" s="7">
        <f>IF(Config!$I$14=0,'NET buy'!AA13,IF('NET buy'!AA13=3000,Config!$I$3,'NET buy'!AA13))</f>
        <v>0</v>
      </c>
      <c r="AD13" s="7">
        <f>'NET buy'!AB13</f>
        <v>0</v>
      </c>
      <c r="AE13" s="7">
        <f>IF(Config!$I$14=0,'NET buy'!AC13,IF('NET buy'!AC13=3000,Config!$I$3,'NET buy'!AC13))</f>
        <v>0</v>
      </c>
      <c r="AF13" s="7">
        <f>'NET buy'!AD13</f>
        <v>0</v>
      </c>
      <c r="AG13" s="7">
        <f>IF(Config!$I$14=0,'NET buy'!AE13,IF('NET buy'!AE13=3000,Config!$I$3,'NET buy'!AE13))</f>
        <v>0</v>
      </c>
      <c r="AH13" s="7">
        <f>'NET buy'!AF13</f>
        <v>0</v>
      </c>
      <c r="AI13" s="7">
        <f>IF(Config!$I$14=0,'NET buy'!AG13,IF('NET buy'!AG13=3000,Config!$I$3,'NET buy'!AG13))</f>
        <v>0</v>
      </c>
      <c r="AJ13" s="7">
        <f>'NET buy'!AH13</f>
        <v>0</v>
      </c>
      <c r="AK13" s="7">
        <f>IF(Config!$I$14=0,'NET buy'!AI13,IF('NET buy'!AI13=3000,Config!$I$3,'NET buy'!AI13))</f>
        <v>0</v>
      </c>
      <c r="AL13" s="7">
        <f>'NET buy'!AJ13</f>
        <v>0</v>
      </c>
      <c r="AM13" s="7">
        <f>IF(Config!$I$14=0,'NET buy'!AK13,IF('NET buy'!AK13=3000,Config!$I$3,'NET buy'!AK13))</f>
        <v>0</v>
      </c>
      <c r="AN13" s="7">
        <f>'NET buy'!AL13</f>
        <v>0</v>
      </c>
      <c r="AO13" s="7">
        <f>IF(Config!$I$14=0,'NET buy'!AM13,IF('NET buy'!AM13=3000,Config!$I$3,'NET buy'!AM13))</f>
        <v>0</v>
      </c>
      <c r="AP13" s="7">
        <f>'NET buy'!AN13</f>
        <v>0</v>
      </c>
      <c r="AQ13" s="7">
        <f>IF(Config!$I$14=0,'NET buy'!AO13,IF('NET buy'!AO13=3000,Config!$I$3,'NET buy'!AO13))</f>
        <v>0</v>
      </c>
      <c r="AR13" s="7">
        <f>'NET buy'!AP13</f>
        <v>0</v>
      </c>
      <c r="AS13" s="7">
        <f>IF(Config!$I$14=0,'NET buy'!AQ13,IF('NET buy'!AQ13=3000,Config!$I$3,'NET buy'!AQ13))</f>
        <v>0</v>
      </c>
      <c r="AT13" s="7">
        <f>'NET buy'!AR13</f>
        <v>0</v>
      </c>
      <c r="AU13" s="7">
        <f>IF(Config!$I$14=0,'NET buy'!AS13,IF('NET buy'!AS13=3000,Config!$I$3,'NET buy'!AS13))</f>
        <v>0</v>
      </c>
      <c r="AV13" s="7">
        <f>'NET buy'!AT13</f>
        <v>0</v>
      </c>
      <c r="AW13" s="7">
        <f>IF(Config!$I$14=0,'NET buy'!AU13,IF('NET buy'!AU13=3000,Config!$I$3,'NET buy'!AU13))</f>
        <v>0</v>
      </c>
      <c r="AX13" s="7">
        <f>'NET buy'!AV13</f>
        <v>0</v>
      </c>
      <c r="AY13" s="8">
        <f>IF(Config!$I$14=0,'NET buy'!AW13,IF('NET buy'!AW13=3000,Config!$I$3,'NET buy'!AW13))</f>
        <v>0</v>
      </c>
    </row>
    <row r="14" spans="1:51">
      <c r="A14" s="6">
        <v>10</v>
      </c>
      <c r="B14" s="31">
        <f>'Check_netting_ETS_G&amp;P'!G14</f>
        <v>0</v>
      </c>
      <c r="C14" s="7">
        <f>IF(B14=0,0,Config!$I$3)</f>
        <v>0</v>
      </c>
      <c r="D14" s="7">
        <f>'NET buy'!B14</f>
        <v>33</v>
      </c>
      <c r="E14" s="7">
        <f>IF(Config!$I$14=0,'NET buy'!C14,IF('NET buy'!C14=3000,Config!$I$3,'NET buy'!C14))</f>
        <v>3000</v>
      </c>
      <c r="F14" s="7">
        <f>'NET buy'!D14</f>
        <v>0</v>
      </c>
      <c r="G14" s="7">
        <f>IF(Config!$I$14=0,'NET buy'!E14,IF('NET buy'!E14=3000,Config!$I$3,'NET buy'!E14))</f>
        <v>0</v>
      </c>
      <c r="H14" s="7">
        <f>'NET buy'!F14</f>
        <v>0</v>
      </c>
      <c r="I14" s="7">
        <f>IF(Config!$I$14=0,'NET buy'!G14,IF('NET buy'!G14=3000,Config!$I$3,'NET buy'!G14))</f>
        <v>0</v>
      </c>
      <c r="J14" s="7">
        <f>'NET buy'!H14</f>
        <v>0</v>
      </c>
      <c r="K14" s="7">
        <f>IF(Config!$I$14=0,'NET buy'!I14,IF('NET buy'!I14=3000,Config!$I$3,'NET buy'!I14))</f>
        <v>0</v>
      </c>
      <c r="L14" s="7">
        <f>'NET buy'!J14</f>
        <v>0</v>
      </c>
      <c r="M14" s="7">
        <f>IF(Config!$I$14=0,'NET buy'!K14,IF('NET buy'!K14=3000,Config!$I$3,'NET buy'!K14))</f>
        <v>0</v>
      </c>
      <c r="N14" s="7">
        <f>'NET buy'!L14</f>
        <v>0</v>
      </c>
      <c r="O14" s="7">
        <f>IF(Config!$I$14=0,'NET buy'!M14,IF('NET buy'!M14=3000,Config!$I$3,'NET buy'!M14))</f>
        <v>0</v>
      </c>
      <c r="P14" s="7">
        <f>'NET buy'!N14</f>
        <v>0</v>
      </c>
      <c r="Q14" s="7">
        <f>IF(Config!$I$14=0,'NET buy'!O14,IF('NET buy'!O14=3000,Config!$I$3,'NET buy'!O14))</f>
        <v>0</v>
      </c>
      <c r="R14" s="7">
        <f>'NET buy'!P14</f>
        <v>0</v>
      </c>
      <c r="S14" s="7">
        <f>IF(Config!$I$14=0,'NET buy'!Q14,IF('NET buy'!Q14=3000,Config!$I$3,'NET buy'!Q14))</f>
        <v>0</v>
      </c>
      <c r="T14" s="7">
        <f>'NET buy'!R14</f>
        <v>0</v>
      </c>
      <c r="U14" s="7">
        <f>IF(Config!$I$14=0,'NET buy'!S14,IF('NET buy'!S14=3000,Config!$I$3,'NET buy'!S14))</f>
        <v>0</v>
      </c>
      <c r="V14" s="7">
        <f>'NET buy'!T14</f>
        <v>0</v>
      </c>
      <c r="W14" s="7">
        <f>IF(Config!$I$14=0,'NET buy'!U14,IF('NET buy'!U14=3000,Config!$I$3,'NET buy'!U14))</f>
        <v>0</v>
      </c>
      <c r="X14" s="7">
        <f>'NET buy'!V14</f>
        <v>0</v>
      </c>
      <c r="Y14" s="7">
        <f>IF(Config!$I$14=0,'NET buy'!W14,IF('NET buy'!W14=3000,Config!$I$3,'NET buy'!W14))</f>
        <v>0</v>
      </c>
      <c r="Z14" s="7">
        <f>'NET buy'!X14</f>
        <v>0</v>
      </c>
      <c r="AA14" s="7">
        <f>IF(Config!$I$14=0,'NET buy'!Y14,IF('NET buy'!Y14=3000,Config!$I$3,'NET buy'!Y14))</f>
        <v>0</v>
      </c>
      <c r="AB14" s="7">
        <f>'NET buy'!Z14</f>
        <v>0</v>
      </c>
      <c r="AC14" s="7">
        <f>IF(Config!$I$14=0,'NET buy'!AA14,IF('NET buy'!AA14=3000,Config!$I$3,'NET buy'!AA14))</f>
        <v>0</v>
      </c>
      <c r="AD14" s="7">
        <f>'NET buy'!AB14</f>
        <v>0</v>
      </c>
      <c r="AE14" s="7">
        <f>IF(Config!$I$14=0,'NET buy'!AC14,IF('NET buy'!AC14=3000,Config!$I$3,'NET buy'!AC14))</f>
        <v>0</v>
      </c>
      <c r="AF14" s="7">
        <f>'NET buy'!AD14</f>
        <v>0</v>
      </c>
      <c r="AG14" s="7">
        <f>IF(Config!$I$14=0,'NET buy'!AE14,IF('NET buy'!AE14=3000,Config!$I$3,'NET buy'!AE14))</f>
        <v>0</v>
      </c>
      <c r="AH14" s="7">
        <f>'NET buy'!AF14</f>
        <v>0</v>
      </c>
      <c r="AI14" s="7">
        <f>IF(Config!$I$14=0,'NET buy'!AG14,IF('NET buy'!AG14=3000,Config!$I$3,'NET buy'!AG14))</f>
        <v>0</v>
      </c>
      <c r="AJ14" s="7">
        <f>'NET buy'!AH14</f>
        <v>0</v>
      </c>
      <c r="AK14" s="7">
        <f>IF(Config!$I$14=0,'NET buy'!AI14,IF('NET buy'!AI14=3000,Config!$I$3,'NET buy'!AI14))</f>
        <v>0</v>
      </c>
      <c r="AL14" s="7">
        <f>'NET buy'!AJ14</f>
        <v>0</v>
      </c>
      <c r="AM14" s="7">
        <f>IF(Config!$I$14=0,'NET buy'!AK14,IF('NET buy'!AK14=3000,Config!$I$3,'NET buy'!AK14))</f>
        <v>0</v>
      </c>
      <c r="AN14" s="7">
        <f>'NET buy'!AL14</f>
        <v>0</v>
      </c>
      <c r="AO14" s="7">
        <f>IF(Config!$I$14=0,'NET buy'!AM14,IF('NET buy'!AM14=3000,Config!$I$3,'NET buy'!AM14))</f>
        <v>0</v>
      </c>
      <c r="AP14" s="7">
        <f>'NET buy'!AN14</f>
        <v>0</v>
      </c>
      <c r="AQ14" s="7">
        <f>IF(Config!$I$14=0,'NET buy'!AO14,IF('NET buy'!AO14=3000,Config!$I$3,'NET buy'!AO14))</f>
        <v>0</v>
      </c>
      <c r="AR14" s="7">
        <f>'NET buy'!AP14</f>
        <v>0</v>
      </c>
      <c r="AS14" s="7">
        <f>IF(Config!$I$14=0,'NET buy'!AQ14,IF('NET buy'!AQ14=3000,Config!$I$3,'NET buy'!AQ14))</f>
        <v>0</v>
      </c>
      <c r="AT14" s="7">
        <f>'NET buy'!AR14</f>
        <v>0</v>
      </c>
      <c r="AU14" s="7">
        <f>IF(Config!$I$14=0,'NET buy'!AS14,IF('NET buy'!AS14=3000,Config!$I$3,'NET buy'!AS14))</f>
        <v>0</v>
      </c>
      <c r="AV14" s="7">
        <f>'NET buy'!AT14</f>
        <v>0</v>
      </c>
      <c r="AW14" s="7">
        <f>IF(Config!$I$14=0,'NET buy'!AU14,IF('NET buy'!AU14=3000,Config!$I$3,'NET buy'!AU14))</f>
        <v>0</v>
      </c>
      <c r="AX14" s="7">
        <f>'NET buy'!AV14</f>
        <v>0</v>
      </c>
      <c r="AY14" s="8">
        <f>IF(Config!$I$14=0,'NET buy'!AW14,IF('NET buy'!AW14=3000,Config!$I$3,'NET buy'!AW14))</f>
        <v>0</v>
      </c>
    </row>
    <row r="15" spans="1:51">
      <c r="A15" s="6">
        <v>11</v>
      </c>
      <c r="B15" s="31">
        <f>'Check_netting_ETS_G&amp;P'!G15</f>
        <v>0</v>
      </c>
      <c r="C15" s="7">
        <f>IF(B15=0,0,Config!$I$3)</f>
        <v>0</v>
      </c>
      <c r="D15" s="7">
        <f>'NET buy'!B15</f>
        <v>33</v>
      </c>
      <c r="E15" s="7">
        <f>IF(Config!$I$14=0,'NET buy'!C15,IF('NET buy'!C15=3000,Config!$I$3,'NET buy'!C15))</f>
        <v>3000</v>
      </c>
      <c r="F15" s="7">
        <f>'NET buy'!D15</f>
        <v>0</v>
      </c>
      <c r="G15" s="7">
        <f>IF(Config!$I$14=0,'NET buy'!E15,IF('NET buy'!E15=3000,Config!$I$3,'NET buy'!E15))</f>
        <v>0</v>
      </c>
      <c r="H15" s="7">
        <f>'NET buy'!F15</f>
        <v>0</v>
      </c>
      <c r="I15" s="7">
        <f>IF(Config!$I$14=0,'NET buy'!G15,IF('NET buy'!G15=3000,Config!$I$3,'NET buy'!G15))</f>
        <v>0</v>
      </c>
      <c r="J15" s="7">
        <f>'NET buy'!H15</f>
        <v>0</v>
      </c>
      <c r="K15" s="7">
        <f>IF(Config!$I$14=0,'NET buy'!I15,IF('NET buy'!I15=3000,Config!$I$3,'NET buy'!I15))</f>
        <v>0</v>
      </c>
      <c r="L15" s="7">
        <f>'NET buy'!J15</f>
        <v>0</v>
      </c>
      <c r="M15" s="7">
        <f>IF(Config!$I$14=0,'NET buy'!K15,IF('NET buy'!K15=3000,Config!$I$3,'NET buy'!K15))</f>
        <v>0</v>
      </c>
      <c r="N15" s="7">
        <f>'NET buy'!L15</f>
        <v>0</v>
      </c>
      <c r="O15" s="7">
        <f>IF(Config!$I$14=0,'NET buy'!M15,IF('NET buy'!M15=3000,Config!$I$3,'NET buy'!M15))</f>
        <v>0</v>
      </c>
      <c r="P15" s="7">
        <f>'NET buy'!N15</f>
        <v>0</v>
      </c>
      <c r="Q15" s="7">
        <f>IF(Config!$I$14=0,'NET buy'!O15,IF('NET buy'!O15=3000,Config!$I$3,'NET buy'!O15))</f>
        <v>0</v>
      </c>
      <c r="R15" s="7">
        <f>'NET buy'!P15</f>
        <v>0</v>
      </c>
      <c r="S15" s="7">
        <f>IF(Config!$I$14=0,'NET buy'!Q15,IF('NET buy'!Q15=3000,Config!$I$3,'NET buy'!Q15))</f>
        <v>0</v>
      </c>
      <c r="T15" s="7">
        <f>'NET buy'!R15</f>
        <v>0</v>
      </c>
      <c r="U15" s="7">
        <f>IF(Config!$I$14=0,'NET buy'!S15,IF('NET buy'!S15=3000,Config!$I$3,'NET buy'!S15))</f>
        <v>0</v>
      </c>
      <c r="V15" s="7">
        <f>'NET buy'!T15</f>
        <v>0</v>
      </c>
      <c r="W15" s="7">
        <f>IF(Config!$I$14=0,'NET buy'!U15,IF('NET buy'!U15=3000,Config!$I$3,'NET buy'!U15))</f>
        <v>0</v>
      </c>
      <c r="X15" s="7">
        <f>'NET buy'!V15</f>
        <v>0</v>
      </c>
      <c r="Y15" s="7">
        <f>IF(Config!$I$14=0,'NET buy'!W15,IF('NET buy'!W15=3000,Config!$I$3,'NET buy'!W15))</f>
        <v>0</v>
      </c>
      <c r="Z15" s="7">
        <f>'NET buy'!X15</f>
        <v>0</v>
      </c>
      <c r="AA15" s="7">
        <f>IF(Config!$I$14=0,'NET buy'!Y15,IF('NET buy'!Y15=3000,Config!$I$3,'NET buy'!Y15))</f>
        <v>0</v>
      </c>
      <c r="AB15" s="7">
        <f>'NET buy'!Z15</f>
        <v>0</v>
      </c>
      <c r="AC15" s="7">
        <f>IF(Config!$I$14=0,'NET buy'!AA15,IF('NET buy'!AA15=3000,Config!$I$3,'NET buy'!AA15))</f>
        <v>0</v>
      </c>
      <c r="AD15" s="7">
        <f>'NET buy'!AB15</f>
        <v>0</v>
      </c>
      <c r="AE15" s="7">
        <f>IF(Config!$I$14=0,'NET buy'!AC15,IF('NET buy'!AC15=3000,Config!$I$3,'NET buy'!AC15))</f>
        <v>0</v>
      </c>
      <c r="AF15" s="7">
        <f>'NET buy'!AD15</f>
        <v>0</v>
      </c>
      <c r="AG15" s="7">
        <f>IF(Config!$I$14=0,'NET buy'!AE15,IF('NET buy'!AE15=3000,Config!$I$3,'NET buy'!AE15))</f>
        <v>0</v>
      </c>
      <c r="AH15" s="7">
        <f>'NET buy'!AF15</f>
        <v>0</v>
      </c>
      <c r="AI15" s="7">
        <f>IF(Config!$I$14=0,'NET buy'!AG15,IF('NET buy'!AG15=3000,Config!$I$3,'NET buy'!AG15))</f>
        <v>0</v>
      </c>
      <c r="AJ15" s="7">
        <f>'NET buy'!AH15</f>
        <v>0</v>
      </c>
      <c r="AK15" s="7">
        <f>IF(Config!$I$14=0,'NET buy'!AI15,IF('NET buy'!AI15=3000,Config!$I$3,'NET buy'!AI15))</f>
        <v>0</v>
      </c>
      <c r="AL15" s="7">
        <f>'NET buy'!AJ15</f>
        <v>0</v>
      </c>
      <c r="AM15" s="7">
        <f>IF(Config!$I$14=0,'NET buy'!AK15,IF('NET buy'!AK15=3000,Config!$I$3,'NET buy'!AK15))</f>
        <v>0</v>
      </c>
      <c r="AN15" s="7">
        <f>'NET buy'!AL15</f>
        <v>0</v>
      </c>
      <c r="AO15" s="7">
        <f>IF(Config!$I$14=0,'NET buy'!AM15,IF('NET buy'!AM15=3000,Config!$I$3,'NET buy'!AM15))</f>
        <v>0</v>
      </c>
      <c r="AP15" s="7">
        <f>'NET buy'!AN15</f>
        <v>0</v>
      </c>
      <c r="AQ15" s="7">
        <f>IF(Config!$I$14=0,'NET buy'!AO15,IF('NET buy'!AO15=3000,Config!$I$3,'NET buy'!AO15))</f>
        <v>0</v>
      </c>
      <c r="AR15" s="7">
        <f>'NET buy'!AP15</f>
        <v>0</v>
      </c>
      <c r="AS15" s="7">
        <f>IF(Config!$I$14=0,'NET buy'!AQ15,IF('NET buy'!AQ15=3000,Config!$I$3,'NET buy'!AQ15))</f>
        <v>0</v>
      </c>
      <c r="AT15" s="7">
        <f>'NET buy'!AR15</f>
        <v>0</v>
      </c>
      <c r="AU15" s="7">
        <f>IF(Config!$I$14=0,'NET buy'!AS15,IF('NET buy'!AS15=3000,Config!$I$3,'NET buy'!AS15))</f>
        <v>0</v>
      </c>
      <c r="AV15" s="7">
        <f>'NET buy'!AT15</f>
        <v>0</v>
      </c>
      <c r="AW15" s="7">
        <f>IF(Config!$I$14=0,'NET buy'!AU15,IF('NET buy'!AU15=3000,Config!$I$3,'NET buy'!AU15))</f>
        <v>0</v>
      </c>
      <c r="AX15" s="7">
        <f>'NET buy'!AV15</f>
        <v>0</v>
      </c>
      <c r="AY15" s="8">
        <f>IF(Config!$I$14=0,'NET buy'!AW15,IF('NET buy'!AW15=3000,Config!$I$3,'NET buy'!AW15))</f>
        <v>0</v>
      </c>
    </row>
    <row r="16" spans="1:51">
      <c r="A16" s="6">
        <v>12</v>
      </c>
      <c r="B16" s="31">
        <f>'Check_netting_ETS_G&amp;P'!G16</f>
        <v>0</v>
      </c>
      <c r="C16" s="7">
        <f>IF(B16=0,0,Config!$I$3)</f>
        <v>0</v>
      </c>
      <c r="D16" s="7">
        <f>'NET buy'!B16</f>
        <v>33</v>
      </c>
      <c r="E16" s="7">
        <f>IF(Config!$I$14=0,'NET buy'!C16,IF('NET buy'!C16=3000,Config!$I$3,'NET buy'!C16))</f>
        <v>3000</v>
      </c>
      <c r="F16" s="7">
        <f>'NET buy'!D16</f>
        <v>0</v>
      </c>
      <c r="G16" s="7">
        <f>IF(Config!$I$14=0,'NET buy'!E16,IF('NET buy'!E16=3000,Config!$I$3,'NET buy'!E16))</f>
        <v>0</v>
      </c>
      <c r="H16" s="7">
        <f>'NET buy'!F16</f>
        <v>0</v>
      </c>
      <c r="I16" s="7">
        <f>IF(Config!$I$14=0,'NET buy'!G16,IF('NET buy'!G16=3000,Config!$I$3,'NET buy'!G16))</f>
        <v>0</v>
      </c>
      <c r="J16" s="7">
        <f>'NET buy'!H16</f>
        <v>0</v>
      </c>
      <c r="K16" s="7">
        <f>IF(Config!$I$14=0,'NET buy'!I16,IF('NET buy'!I16=3000,Config!$I$3,'NET buy'!I16))</f>
        <v>0</v>
      </c>
      <c r="L16" s="7">
        <f>'NET buy'!J16</f>
        <v>0</v>
      </c>
      <c r="M16" s="7">
        <f>IF(Config!$I$14=0,'NET buy'!K16,IF('NET buy'!K16=3000,Config!$I$3,'NET buy'!K16))</f>
        <v>0</v>
      </c>
      <c r="N16" s="7">
        <f>'NET buy'!L16</f>
        <v>0</v>
      </c>
      <c r="O16" s="7">
        <f>IF(Config!$I$14=0,'NET buy'!M16,IF('NET buy'!M16=3000,Config!$I$3,'NET buy'!M16))</f>
        <v>0</v>
      </c>
      <c r="P16" s="7">
        <f>'NET buy'!N16</f>
        <v>0</v>
      </c>
      <c r="Q16" s="7">
        <f>IF(Config!$I$14=0,'NET buy'!O16,IF('NET buy'!O16=3000,Config!$I$3,'NET buy'!O16))</f>
        <v>0</v>
      </c>
      <c r="R16" s="7">
        <f>'NET buy'!P16</f>
        <v>0</v>
      </c>
      <c r="S16" s="7">
        <f>IF(Config!$I$14=0,'NET buy'!Q16,IF('NET buy'!Q16=3000,Config!$I$3,'NET buy'!Q16))</f>
        <v>0</v>
      </c>
      <c r="T16" s="7">
        <f>'NET buy'!R16</f>
        <v>0</v>
      </c>
      <c r="U16" s="7">
        <f>IF(Config!$I$14=0,'NET buy'!S16,IF('NET buy'!S16=3000,Config!$I$3,'NET buy'!S16))</f>
        <v>0</v>
      </c>
      <c r="V16" s="7">
        <f>'NET buy'!T16</f>
        <v>0</v>
      </c>
      <c r="W16" s="7">
        <f>IF(Config!$I$14=0,'NET buy'!U16,IF('NET buy'!U16=3000,Config!$I$3,'NET buy'!U16))</f>
        <v>0</v>
      </c>
      <c r="X16" s="7">
        <f>'NET buy'!V16</f>
        <v>0</v>
      </c>
      <c r="Y16" s="7">
        <f>IF(Config!$I$14=0,'NET buy'!W16,IF('NET buy'!W16=3000,Config!$I$3,'NET buy'!W16))</f>
        <v>0</v>
      </c>
      <c r="Z16" s="7">
        <f>'NET buy'!X16</f>
        <v>0</v>
      </c>
      <c r="AA16" s="7">
        <f>IF(Config!$I$14=0,'NET buy'!Y16,IF('NET buy'!Y16=3000,Config!$I$3,'NET buy'!Y16))</f>
        <v>0</v>
      </c>
      <c r="AB16" s="7">
        <f>'NET buy'!Z16</f>
        <v>0</v>
      </c>
      <c r="AC16" s="7">
        <f>IF(Config!$I$14=0,'NET buy'!AA16,IF('NET buy'!AA16=3000,Config!$I$3,'NET buy'!AA16))</f>
        <v>0</v>
      </c>
      <c r="AD16" s="7">
        <f>'NET buy'!AB16</f>
        <v>0</v>
      </c>
      <c r="AE16" s="7">
        <f>IF(Config!$I$14=0,'NET buy'!AC16,IF('NET buy'!AC16=3000,Config!$I$3,'NET buy'!AC16))</f>
        <v>0</v>
      </c>
      <c r="AF16" s="7">
        <f>'NET buy'!AD16</f>
        <v>0</v>
      </c>
      <c r="AG16" s="7">
        <f>IF(Config!$I$14=0,'NET buy'!AE16,IF('NET buy'!AE16=3000,Config!$I$3,'NET buy'!AE16))</f>
        <v>0</v>
      </c>
      <c r="AH16" s="7">
        <f>'NET buy'!AF16</f>
        <v>0</v>
      </c>
      <c r="AI16" s="7">
        <f>IF(Config!$I$14=0,'NET buy'!AG16,IF('NET buy'!AG16=3000,Config!$I$3,'NET buy'!AG16))</f>
        <v>0</v>
      </c>
      <c r="AJ16" s="7">
        <f>'NET buy'!AH16</f>
        <v>0</v>
      </c>
      <c r="AK16" s="7">
        <f>IF(Config!$I$14=0,'NET buy'!AI16,IF('NET buy'!AI16=3000,Config!$I$3,'NET buy'!AI16))</f>
        <v>0</v>
      </c>
      <c r="AL16" s="7">
        <f>'NET buy'!AJ16</f>
        <v>0</v>
      </c>
      <c r="AM16" s="7">
        <f>IF(Config!$I$14=0,'NET buy'!AK16,IF('NET buy'!AK16=3000,Config!$I$3,'NET buy'!AK16))</f>
        <v>0</v>
      </c>
      <c r="AN16" s="7">
        <f>'NET buy'!AL16</f>
        <v>0</v>
      </c>
      <c r="AO16" s="7">
        <f>IF(Config!$I$14=0,'NET buy'!AM16,IF('NET buy'!AM16=3000,Config!$I$3,'NET buy'!AM16))</f>
        <v>0</v>
      </c>
      <c r="AP16" s="7">
        <f>'NET buy'!AN16</f>
        <v>0</v>
      </c>
      <c r="AQ16" s="7">
        <f>IF(Config!$I$14=0,'NET buy'!AO16,IF('NET buy'!AO16=3000,Config!$I$3,'NET buy'!AO16))</f>
        <v>0</v>
      </c>
      <c r="AR16" s="7">
        <f>'NET buy'!AP16</f>
        <v>0</v>
      </c>
      <c r="AS16" s="7">
        <f>IF(Config!$I$14=0,'NET buy'!AQ16,IF('NET buy'!AQ16=3000,Config!$I$3,'NET buy'!AQ16))</f>
        <v>0</v>
      </c>
      <c r="AT16" s="7">
        <f>'NET buy'!AR16</f>
        <v>0</v>
      </c>
      <c r="AU16" s="7">
        <f>IF(Config!$I$14=0,'NET buy'!AS16,IF('NET buy'!AS16=3000,Config!$I$3,'NET buy'!AS16))</f>
        <v>0</v>
      </c>
      <c r="AV16" s="7">
        <f>'NET buy'!AT16</f>
        <v>0</v>
      </c>
      <c r="AW16" s="7">
        <f>IF(Config!$I$14=0,'NET buy'!AU16,IF('NET buy'!AU16=3000,Config!$I$3,'NET buy'!AU16))</f>
        <v>0</v>
      </c>
      <c r="AX16" s="7">
        <f>'NET buy'!AV16</f>
        <v>0</v>
      </c>
      <c r="AY16" s="8">
        <f>IF(Config!$I$14=0,'NET buy'!AW16,IF('NET buy'!AW16=3000,Config!$I$3,'NET buy'!AW16))</f>
        <v>0</v>
      </c>
    </row>
    <row r="17" spans="1:51">
      <c r="A17" s="6">
        <v>13</v>
      </c>
      <c r="B17" s="31">
        <f>'Check_netting_ETS_G&amp;P'!G17</f>
        <v>0</v>
      </c>
      <c r="C17" s="7">
        <f>IF(B17=0,0,Config!$I$3)</f>
        <v>0</v>
      </c>
      <c r="D17" s="7">
        <f>'NET buy'!B17</f>
        <v>33</v>
      </c>
      <c r="E17" s="7">
        <f>IF(Config!$I$14=0,'NET buy'!C17,IF('NET buy'!C17=3000,Config!$I$3,'NET buy'!C17))</f>
        <v>3000</v>
      </c>
      <c r="F17" s="7">
        <f>'NET buy'!D17</f>
        <v>0</v>
      </c>
      <c r="G17" s="7">
        <f>IF(Config!$I$14=0,'NET buy'!E17,IF('NET buy'!E17=3000,Config!$I$3,'NET buy'!E17))</f>
        <v>0</v>
      </c>
      <c r="H17" s="7">
        <f>'NET buy'!F17</f>
        <v>0</v>
      </c>
      <c r="I17" s="7">
        <f>IF(Config!$I$14=0,'NET buy'!G17,IF('NET buy'!G17=3000,Config!$I$3,'NET buy'!G17))</f>
        <v>0</v>
      </c>
      <c r="J17" s="7">
        <f>'NET buy'!H17</f>
        <v>0</v>
      </c>
      <c r="K17" s="7">
        <f>IF(Config!$I$14=0,'NET buy'!I17,IF('NET buy'!I17=3000,Config!$I$3,'NET buy'!I17))</f>
        <v>0</v>
      </c>
      <c r="L17" s="7">
        <f>'NET buy'!J17</f>
        <v>0</v>
      </c>
      <c r="M17" s="7">
        <f>IF(Config!$I$14=0,'NET buy'!K17,IF('NET buy'!K17=3000,Config!$I$3,'NET buy'!K17))</f>
        <v>0</v>
      </c>
      <c r="N17" s="7">
        <f>'NET buy'!L17</f>
        <v>0</v>
      </c>
      <c r="O17" s="7">
        <f>IF(Config!$I$14=0,'NET buy'!M17,IF('NET buy'!M17=3000,Config!$I$3,'NET buy'!M17))</f>
        <v>0</v>
      </c>
      <c r="P17" s="7">
        <f>'NET buy'!N17</f>
        <v>0</v>
      </c>
      <c r="Q17" s="7">
        <f>IF(Config!$I$14=0,'NET buy'!O17,IF('NET buy'!O17=3000,Config!$I$3,'NET buy'!O17))</f>
        <v>0</v>
      </c>
      <c r="R17" s="7">
        <f>'NET buy'!P17</f>
        <v>0</v>
      </c>
      <c r="S17" s="7">
        <f>IF(Config!$I$14=0,'NET buy'!Q17,IF('NET buy'!Q17=3000,Config!$I$3,'NET buy'!Q17))</f>
        <v>0</v>
      </c>
      <c r="T17" s="7">
        <f>'NET buy'!R17</f>
        <v>0</v>
      </c>
      <c r="U17" s="7">
        <f>IF(Config!$I$14=0,'NET buy'!S17,IF('NET buy'!S17=3000,Config!$I$3,'NET buy'!S17))</f>
        <v>0</v>
      </c>
      <c r="V17" s="7">
        <f>'NET buy'!T17</f>
        <v>0</v>
      </c>
      <c r="W17" s="7">
        <f>IF(Config!$I$14=0,'NET buy'!U17,IF('NET buy'!U17=3000,Config!$I$3,'NET buy'!U17))</f>
        <v>0</v>
      </c>
      <c r="X17" s="7">
        <f>'NET buy'!V17</f>
        <v>0</v>
      </c>
      <c r="Y17" s="7">
        <f>IF(Config!$I$14=0,'NET buy'!W17,IF('NET buy'!W17=3000,Config!$I$3,'NET buy'!W17))</f>
        <v>0</v>
      </c>
      <c r="Z17" s="7">
        <f>'NET buy'!X17</f>
        <v>0</v>
      </c>
      <c r="AA17" s="7">
        <f>IF(Config!$I$14=0,'NET buy'!Y17,IF('NET buy'!Y17=3000,Config!$I$3,'NET buy'!Y17))</f>
        <v>0</v>
      </c>
      <c r="AB17" s="7">
        <f>'NET buy'!Z17</f>
        <v>0</v>
      </c>
      <c r="AC17" s="7">
        <f>IF(Config!$I$14=0,'NET buy'!AA17,IF('NET buy'!AA17=3000,Config!$I$3,'NET buy'!AA17))</f>
        <v>0</v>
      </c>
      <c r="AD17" s="7">
        <f>'NET buy'!AB17</f>
        <v>0</v>
      </c>
      <c r="AE17" s="7">
        <f>IF(Config!$I$14=0,'NET buy'!AC17,IF('NET buy'!AC17=3000,Config!$I$3,'NET buy'!AC17))</f>
        <v>0</v>
      </c>
      <c r="AF17" s="7">
        <f>'NET buy'!AD17</f>
        <v>0</v>
      </c>
      <c r="AG17" s="7">
        <f>IF(Config!$I$14=0,'NET buy'!AE17,IF('NET buy'!AE17=3000,Config!$I$3,'NET buy'!AE17))</f>
        <v>0</v>
      </c>
      <c r="AH17" s="7">
        <f>'NET buy'!AF17</f>
        <v>0</v>
      </c>
      <c r="AI17" s="7">
        <f>IF(Config!$I$14=0,'NET buy'!AG17,IF('NET buy'!AG17=3000,Config!$I$3,'NET buy'!AG17))</f>
        <v>0</v>
      </c>
      <c r="AJ17" s="7">
        <f>'NET buy'!AH17</f>
        <v>0</v>
      </c>
      <c r="AK17" s="7">
        <f>IF(Config!$I$14=0,'NET buy'!AI17,IF('NET buy'!AI17=3000,Config!$I$3,'NET buy'!AI17))</f>
        <v>0</v>
      </c>
      <c r="AL17" s="7">
        <f>'NET buy'!AJ17</f>
        <v>0</v>
      </c>
      <c r="AM17" s="7">
        <f>IF(Config!$I$14=0,'NET buy'!AK17,IF('NET buy'!AK17=3000,Config!$I$3,'NET buy'!AK17))</f>
        <v>0</v>
      </c>
      <c r="AN17" s="7">
        <f>'NET buy'!AL17</f>
        <v>0</v>
      </c>
      <c r="AO17" s="7">
        <f>IF(Config!$I$14=0,'NET buy'!AM17,IF('NET buy'!AM17=3000,Config!$I$3,'NET buy'!AM17))</f>
        <v>0</v>
      </c>
      <c r="AP17" s="7">
        <f>'NET buy'!AN17</f>
        <v>0</v>
      </c>
      <c r="AQ17" s="7">
        <f>IF(Config!$I$14=0,'NET buy'!AO17,IF('NET buy'!AO17=3000,Config!$I$3,'NET buy'!AO17))</f>
        <v>0</v>
      </c>
      <c r="AR17" s="7">
        <f>'NET buy'!AP17</f>
        <v>0</v>
      </c>
      <c r="AS17" s="7">
        <f>IF(Config!$I$14=0,'NET buy'!AQ17,IF('NET buy'!AQ17=3000,Config!$I$3,'NET buy'!AQ17))</f>
        <v>0</v>
      </c>
      <c r="AT17" s="7">
        <f>'NET buy'!AR17</f>
        <v>0</v>
      </c>
      <c r="AU17" s="7">
        <f>IF(Config!$I$14=0,'NET buy'!AS17,IF('NET buy'!AS17=3000,Config!$I$3,'NET buy'!AS17))</f>
        <v>0</v>
      </c>
      <c r="AV17" s="7">
        <f>'NET buy'!AT17</f>
        <v>0</v>
      </c>
      <c r="AW17" s="7">
        <f>IF(Config!$I$14=0,'NET buy'!AU17,IF('NET buy'!AU17=3000,Config!$I$3,'NET buy'!AU17))</f>
        <v>0</v>
      </c>
      <c r="AX17" s="7">
        <f>'NET buy'!AV17</f>
        <v>0</v>
      </c>
      <c r="AY17" s="8">
        <f>IF(Config!$I$14=0,'NET buy'!AW17,IF('NET buy'!AW17=3000,Config!$I$3,'NET buy'!AW17))</f>
        <v>0</v>
      </c>
    </row>
    <row r="18" spans="1:51">
      <c r="A18" s="6">
        <v>14</v>
      </c>
      <c r="B18" s="31">
        <f>'Check_netting_ETS_G&amp;P'!G18</f>
        <v>0</v>
      </c>
      <c r="C18" s="7">
        <f>IF(B18=0,0,Config!$I$3)</f>
        <v>0</v>
      </c>
      <c r="D18" s="7">
        <f>'NET buy'!B18</f>
        <v>33</v>
      </c>
      <c r="E18" s="7">
        <f>IF(Config!$I$14=0,'NET buy'!C18,IF('NET buy'!C18=3000,Config!$I$3,'NET buy'!C18))</f>
        <v>3000</v>
      </c>
      <c r="F18" s="7">
        <f>'NET buy'!D18</f>
        <v>0</v>
      </c>
      <c r="G18" s="7">
        <f>IF(Config!$I$14=0,'NET buy'!E18,IF('NET buy'!E18=3000,Config!$I$3,'NET buy'!E18))</f>
        <v>0</v>
      </c>
      <c r="H18" s="7">
        <f>'NET buy'!F18</f>
        <v>0</v>
      </c>
      <c r="I18" s="7">
        <f>IF(Config!$I$14=0,'NET buy'!G18,IF('NET buy'!G18=3000,Config!$I$3,'NET buy'!G18))</f>
        <v>0</v>
      </c>
      <c r="J18" s="7">
        <f>'NET buy'!H18</f>
        <v>0</v>
      </c>
      <c r="K18" s="7">
        <f>IF(Config!$I$14=0,'NET buy'!I18,IF('NET buy'!I18=3000,Config!$I$3,'NET buy'!I18))</f>
        <v>0</v>
      </c>
      <c r="L18" s="7">
        <f>'NET buy'!J18</f>
        <v>0</v>
      </c>
      <c r="M18" s="7">
        <f>IF(Config!$I$14=0,'NET buy'!K18,IF('NET buy'!K18=3000,Config!$I$3,'NET buy'!K18))</f>
        <v>0</v>
      </c>
      <c r="N18" s="7">
        <f>'NET buy'!L18</f>
        <v>0</v>
      </c>
      <c r="O18" s="7">
        <f>IF(Config!$I$14=0,'NET buy'!M18,IF('NET buy'!M18=3000,Config!$I$3,'NET buy'!M18))</f>
        <v>0</v>
      </c>
      <c r="P18" s="7">
        <f>'NET buy'!N18</f>
        <v>0</v>
      </c>
      <c r="Q18" s="7">
        <f>IF(Config!$I$14=0,'NET buy'!O18,IF('NET buy'!O18=3000,Config!$I$3,'NET buy'!O18))</f>
        <v>0</v>
      </c>
      <c r="R18" s="7">
        <f>'NET buy'!P18</f>
        <v>0</v>
      </c>
      <c r="S18" s="7">
        <f>IF(Config!$I$14=0,'NET buy'!Q18,IF('NET buy'!Q18=3000,Config!$I$3,'NET buy'!Q18))</f>
        <v>0</v>
      </c>
      <c r="T18" s="7">
        <f>'NET buy'!R18</f>
        <v>0</v>
      </c>
      <c r="U18" s="7">
        <f>IF(Config!$I$14=0,'NET buy'!S18,IF('NET buy'!S18=3000,Config!$I$3,'NET buy'!S18))</f>
        <v>0</v>
      </c>
      <c r="V18" s="7">
        <f>'NET buy'!T18</f>
        <v>0</v>
      </c>
      <c r="W18" s="7">
        <f>IF(Config!$I$14=0,'NET buy'!U18,IF('NET buy'!U18=3000,Config!$I$3,'NET buy'!U18))</f>
        <v>0</v>
      </c>
      <c r="X18" s="7">
        <f>'NET buy'!V18</f>
        <v>0</v>
      </c>
      <c r="Y18" s="7">
        <f>IF(Config!$I$14=0,'NET buy'!W18,IF('NET buy'!W18=3000,Config!$I$3,'NET buy'!W18))</f>
        <v>0</v>
      </c>
      <c r="Z18" s="7">
        <f>'NET buy'!X18</f>
        <v>0</v>
      </c>
      <c r="AA18" s="7">
        <f>IF(Config!$I$14=0,'NET buy'!Y18,IF('NET buy'!Y18=3000,Config!$I$3,'NET buy'!Y18))</f>
        <v>0</v>
      </c>
      <c r="AB18" s="7">
        <f>'NET buy'!Z18</f>
        <v>0</v>
      </c>
      <c r="AC18" s="7">
        <f>IF(Config!$I$14=0,'NET buy'!AA18,IF('NET buy'!AA18=3000,Config!$I$3,'NET buy'!AA18))</f>
        <v>0</v>
      </c>
      <c r="AD18" s="7">
        <f>'NET buy'!AB18</f>
        <v>0</v>
      </c>
      <c r="AE18" s="7">
        <f>IF(Config!$I$14=0,'NET buy'!AC18,IF('NET buy'!AC18=3000,Config!$I$3,'NET buy'!AC18))</f>
        <v>0</v>
      </c>
      <c r="AF18" s="7">
        <f>'NET buy'!AD18</f>
        <v>0</v>
      </c>
      <c r="AG18" s="7">
        <f>IF(Config!$I$14=0,'NET buy'!AE18,IF('NET buy'!AE18=3000,Config!$I$3,'NET buy'!AE18))</f>
        <v>0</v>
      </c>
      <c r="AH18" s="7">
        <f>'NET buy'!AF18</f>
        <v>0</v>
      </c>
      <c r="AI18" s="7">
        <f>IF(Config!$I$14=0,'NET buy'!AG18,IF('NET buy'!AG18=3000,Config!$I$3,'NET buy'!AG18))</f>
        <v>0</v>
      </c>
      <c r="AJ18" s="7">
        <f>'NET buy'!AH18</f>
        <v>0</v>
      </c>
      <c r="AK18" s="7">
        <f>IF(Config!$I$14=0,'NET buy'!AI18,IF('NET buy'!AI18=3000,Config!$I$3,'NET buy'!AI18))</f>
        <v>0</v>
      </c>
      <c r="AL18" s="7">
        <f>'NET buy'!AJ18</f>
        <v>0</v>
      </c>
      <c r="AM18" s="7">
        <f>IF(Config!$I$14=0,'NET buy'!AK18,IF('NET buy'!AK18=3000,Config!$I$3,'NET buy'!AK18))</f>
        <v>0</v>
      </c>
      <c r="AN18" s="7">
        <f>'NET buy'!AL18</f>
        <v>0</v>
      </c>
      <c r="AO18" s="7">
        <f>IF(Config!$I$14=0,'NET buy'!AM18,IF('NET buy'!AM18=3000,Config!$I$3,'NET buy'!AM18))</f>
        <v>0</v>
      </c>
      <c r="AP18" s="7">
        <f>'NET buy'!AN18</f>
        <v>0</v>
      </c>
      <c r="AQ18" s="7">
        <f>IF(Config!$I$14=0,'NET buy'!AO18,IF('NET buy'!AO18=3000,Config!$I$3,'NET buy'!AO18))</f>
        <v>0</v>
      </c>
      <c r="AR18" s="7">
        <f>'NET buy'!AP18</f>
        <v>0</v>
      </c>
      <c r="AS18" s="7">
        <f>IF(Config!$I$14=0,'NET buy'!AQ18,IF('NET buy'!AQ18=3000,Config!$I$3,'NET buy'!AQ18))</f>
        <v>0</v>
      </c>
      <c r="AT18" s="7">
        <f>'NET buy'!AR18</f>
        <v>0</v>
      </c>
      <c r="AU18" s="7">
        <f>IF(Config!$I$14=0,'NET buy'!AS18,IF('NET buy'!AS18=3000,Config!$I$3,'NET buy'!AS18))</f>
        <v>0</v>
      </c>
      <c r="AV18" s="7">
        <f>'NET buy'!AT18</f>
        <v>0</v>
      </c>
      <c r="AW18" s="7">
        <f>IF(Config!$I$14=0,'NET buy'!AU18,IF('NET buy'!AU18=3000,Config!$I$3,'NET buy'!AU18))</f>
        <v>0</v>
      </c>
      <c r="AX18" s="7">
        <f>'NET buy'!AV18</f>
        <v>0</v>
      </c>
      <c r="AY18" s="8">
        <f>IF(Config!$I$14=0,'NET buy'!AW18,IF('NET buy'!AW18=3000,Config!$I$3,'NET buy'!AW18))</f>
        <v>0</v>
      </c>
    </row>
    <row r="19" spans="1:51">
      <c r="A19" s="6">
        <v>15</v>
      </c>
      <c r="B19" s="31">
        <f>'Check_netting_ETS_G&amp;P'!G19</f>
        <v>0</v>
      </c>
      <c r="C19" s="7">
        <f>IF(B19=0,0,Config!$I$3)</f>
        <v>0</v>
      </c>
      <c r="D19" s="7">
        <f>'NET buy'!B19</f>
        <v>33</v>
      </c>
      <c r="E19" s="7">
        <f>IF(Config!$I$14=0,'NET buy'!C19,IF('NET buy'!C19=3000,Config!$I$3,'NET buy'!C19))</f>
        <v>3000</v>
      </c>
      <c r="F19" s="7">
        <f>'NET buy'!D19</f>
        <v>0</v>
      </c>
      <c r="G19" s="7">
        <f>IF(Config!$I$14=0,'NET buy'!E19,IF('NET buy'!E19=3000,Config!$I$3,'NET buy'!E19))</f>
        <v>0</v>
      </c>
      <c r="H19" s="7">
        <f>'NET buy'!F19</f>
        <v>0</v>
      </c>
      <c r="I19" s="7">
        <f>IF(Config!$I$14=0,'NET buy'!G19,IF('NET buy'!G19=3000,Config!$I$3,'NET buy'!G19))</f>
        <v>0</v>
      </c>
      <c r="J19" s="7">
        <f>'NET buy'!H19</f>
        <v>0</v>
      </c>
      <c r="K19" s="7">
        <f>IF(Config!$I$14=0,'NET buy'!I19,IF('NET buy'!I19=3000,Config!$I$3,'NET buy'!I19))</f>
        <v>0</v>
      </c>
      <c r="L19" s="7">
        <f>'NET buy'!J19</f>
        <v>0</v>
      </c>
      <c r="M19" s="7">
        <f>IF(Config!$I$14=0,'NET buy'!K19,IF('NET buy'!K19=3000,Config!$I$3,'NET buy'!K19))</f>
        <v>0</v>
      </c>
      <c r="N19" s="7">
        <f>'NET buy'!L19</f>
        <v>0</v>
      </c>
      <c r="O19" s="7">
        <f>IF(Config!$I$14=0,'NET buy'!M19,IF('NET buy'!M19=3000,Config!$I$3,'NET buy'!M19))</f>
        <v>0</v>
      </c>
      <c r="P19" s="7">
        <f>'NET buy'!N19</f>
        <v>0</v>
      </c>
      <c r="Q19" s="7">
        <f>IF(Config!$I$14=0,'NET buy'!O19,IF('NET buy'!O19=3000,Config!$I$3,'NET buy'!O19))</f>
        <v>0</v>
      </c>
      <c r="R19" s="7">
        <f>'NET buy'!P19</f>
        <v>0</v>
      </c>
      <c r="S19" s="7">
        <f>IF(Config!$I$14=0,'NET buy'!Q19,IF('NET buy'!Q19=3000,Config!$I$3,'NET buy'!Q19))</f>
        <v>0</v>
      </c>
      <c r="T19" s="7">
        <f>'NET buy'!R19</f>
        <v>0</v>
      </c>
      <c r="U19" s="7">
        <f>IF(Config!$I$14=0,'NET buy'!S19,IF('NET buy'!S19=3000,Config!$I$3,'NET buy'!S19))</f>
        <v>0</v>
      </c>
      <c r="V19" s="7">
        <f>'NET buy'!T19</f>
        <v>0</v>
      </c>
      <c r="W19" s="7">
        <f>IF(Config!$I$14=0,'NET buy'!U19,IF('NET buy'!U19=3000,Config!$I$3,'NET buy'!U19))</f>
        <v>0</v>
      </c>
      <c r="X19" s="7">
        <f>'NET buy'!V19</f>
        <v>0</v>
      </c>
      <c r="Y19" s="7">
        <f>IF(Config!$I$14=0,'NET buy'!W19,IF('NET buy'!W19=3000,Config!$I$3,'NET buy'!W19))</f>
        <v>0</v>
      </c>
      <c r="Z19" s="7">
        <f>'NET buy'!X19</f>
        <v>0</v>
      </c>
      <c r="AA19" s="7">
        <f>IF(Config!$I$14=0,'NET buy'!Y19,IF('NET buy'!Y19=3000,Config!$I$3,'NET buy'!Y19))</f>
        <v>0</v>
      </c>
      <c r="AB19" s="7">
        <f>'NET buy'!Z19</f>
        <v>0</v>
      </c>
      <c r="AC19" s="7">
        <f>IF(Config!$I$14=0,'NET buy'!AA19,IF('NET buy'!AA19=3000,Config!$I$3,'NET buy'!AA19))</f>
        <v>0</v>
      </c>
      <c r="AD19" s="7">
        <f>'NET buy'!AB19</f>
        <v>0</v>
      </c>
      <c r="AE19" s="7">
        <f>IF(Config!$I$14=0,'NET buy'!AC19,IF('NET buy'!AC19=3000,Config!$I$3,'NET buy'!AC19))</f>
        <v>0</v>
      </c>
      <c r="AF19" s="7">
        <f>'NET buy'!AD19</f>
        <v>0</v>
      </c>
      <c r="AG19" s="7">
        <f>IF(Config!$I$14=0,'NET buy'!AE19,IF('NET buy'!AE19=3000,Config!$I$3,'NET buy'!AE19))</f>
        <v>0</v>
      </c>
      <c r="AH19" s="7">
        <f>'NET buy'!AF19</f>
        <v>0</v>
      </c>
      <c r="AI19" s="7">
        <f>IF(Config!$I$14=0,'NET buy'!AG19,IF('NET buy'!AG19=3000,Config!$I$3,'NET buy'!AG19))</f>
        <v>0</v>
      </c>
      <c r="AJ19" s="7">
        <f>'NET buy'!AH19</f>
        <v>0</v>
      </c>
      <c r="AK19" s="7">
        <f>IF(Config!$I$14=0,'NET buy'!AI19,IF('NET buy'!AI19=3000,Config!$I$3,'NET buy'!AI19))</f>
        <v>0</v>
      </c>
      <c r="AL19" s="7">
        <f>'NET buy'!AJ19</f>
        <v>0</v>
      </c>
      <c r="AM19" s="7">
        <f>IF(Config!$I$14=0,'NET buy'!AK19,IF('NET buy'!AK19=3000,Config!$I$3,'NET buy'!AK19))</f>
        <v>0</v>
      </c>
      <c r="AN19" s="7">
        <f>'NET buy'!AL19</f>
        <v>0</v>
      </c>
      <c r="AO19" s="7">
        <f>IF(Config!$I$14=0,'NET buy'!AM19,IF('NET buy'!AM19=3000,Config!$I$3,'NET buy'!AM19))</f>
        <v>0</v>
      </c>
      <c r="AP19" s="7">
        <f>'NET buy'!AN19</f>
        <v>0</v>
      </c>
      <c r="AQ19" s="7">
        <f>IF(Config!$I$14=0,'NET buy'!AO19,IF('NET buy'!AO19=3000,Config!$I$3,'NET buy'!AO19))</f>
        <v>0</v>
      </c>
      <c r="AR19" s="7">
        <f>'NET buy'!AP19</f>
        <v>0</v>
      </c>
      <c r="AS19" s="7">
        <f>IF(Config!$I$14=0,'NET buy'!AQ19,IF('NET buy'!AQ19=3000,Config!$I$3,'NET buy'!AQ19))</f>
        <v>0</v>
      </c>
      <c r="AT19" s="7">
        <f>'NET buy'!AR19</f>
        <v>0</v>
      </c>
      <c r="AU19" s="7">
        <f>IF(Config!$I$14=0,'NET buy'!AS19,IF('NET buy'!AS19=3000,Config!$I$3,'NET buy'!AS19))</f>
        <v>0</v>
      </c>
      <c r="AV19" s="7">
        <f>'NET buy'!AT19</f>
        <v>0</v>
      </c>
      <c r="AW19" s="7">
        <f>IF(Config!$I$14=0,'NET buy'!AU19,IF('NET buy'!AU19=3000,Config!$I$3,'NET buy'!AU19))</f>
        <v>0</v>
      </c>
      <c r="AX19" s="7">
        <f>'NET buy'!AV19</f>
        <v>0</v>
      </c>
      <c r="AY19" s="8">
        <f>IF(Config!$I$14=0,'NET buy'!AW19,IF('NET buy'!AW19=3000,Config!$I$3,'NET buy'!AW19))</f>
        <v>0</v>
      </c>
    </row>
    <row r="20" spans="1:51">
      <c r="A20" s="6">
        <v>16</v>
      </c>
      <c r="B20" s="31">
        <f>'Check_netting_ETS_G&amp;P'!G20</f>
        <v>0</v>
      </c>
      <c r="C20" s="7">
        <f>IF(B20=0,0,Config!$I$3)</f>
        <v>0</v>
      </c>
      <c r="D20" s="7">
        <f>'NET buy'!B20</f>
        <v>33</v>
      </c>
      <c r="E20" s="7">
        <f>IF(Config!$I$14=0,'NET buy'!C20,IF('NET buy'!C20=3000,Config!$I$3,'NET buy'!C20))</f>
        <v>3000</v>
      </c>
      <c r="F20" s="7">
        <f>'NET buy'!D20</f>
        <v>0</v>
      </c>
      <c r="G20" s="7">
        <f>IF(Config!$I$14=0,'NET buy'!E20,IF('NET buy'!E20=3000,Config!$I$3,'NET buy'!E20))</f>
        <v>0</v>
      </c>
      <c r="H20" s="7">
        <f>'NET buy'!F20</f>
        <v>0</v>
      </c>
      <c r="I20" s="7">
        <f>IF(Config!$I$14=0,'NET buy'!G20,IF('NET buy'!G20=3000,Config!$I$3,'NET buy'!G20))</f>
        <v>0</v>
      </c>
      <c r="J20" s="7">
        <f>'NET buy'!H20</f>
        <v>0</v>
      </c>
      <c r="K20" s="7">
        <f>IF(Config!$I$14=0,'NET buy'!I20,IF('NET buy'!I20=3000,Config!$I$3,'NET buy'!I20))</f>
        <v>0</v>
      </c>
      <c r="L20" s="7">
        <f>'NET buy'!J20</f>
        <v>0</v>
      </c>
      <c r="M20" s="7">
        <f>IF(Config!$I$14=0,'NET buy'!K20,IF('NET buy'!K20=3000,Config!$I$3,'NET buy'!K20))</f>
        <v>0</v>
      </c>
      <c r="N20" s="7">
        <f>'NET buy'!L20</f>
        <v>0</v>
      </c>
      <c r="O20" s="7">
        <f>IF(Config!$I$14=0,'NET buy'!M20,IF('NET buy'!M20=3000,Config!$I$3,'NET buy'!M20))</f>
        <v>0</v>
      </c>
      <c r="P20" s="7">
        <f>'NET buy'!N20</f>
        <v>0</v>
      </c>
      <c r="Q20" s="7">
        <f>IF(Config!$I$14=0,'NET buy'!O20,IF('NET buy'!O20=3000,Config!$I$3,'NET buy'!O20))</f>
        <v>0</v>
      </c>
      <c r="R20" s="7">
        <f>'NET buy'!P20</f>
        <v>0</v>
      </c>
      <c r="S20" s="7">
        <f>IF(Config!$I$14=0,'NET buy'!Q20,IF('NET buy'!Q20=3000,Config!$I$3,'NET buy'!Q20))</f>
        <v>0</v>
      </c>
      <c r="T20" s="7">
        <f>'NET buy'!R20</f>
        <v>0</v>
      </c>
      <c r="U20" s="7">
        <f>IF(Config!$I$14=0,'NET buy'!S20,IF('NET buy'!S20=3000,Config!$I$3,'NET buy'!S20))</f>
        <v>0</v>
      </c>
      <c r="V20" s="7">
        <f>'NET buy'!T20</f>
        <v>0</v>
      </c>
      <c r="W20" s="7">
        <f>IF(Config!$I$14=0,'NET buy'!U20,IF('NET buy'!U20=3000,Config!$I$3,'NET buy'!U20))</f>
        <v>0</v>
      </c>
      <c r="X20" s="7">
        <f>'NET buy'!V20</f>
        <v>0</v>
      </c>
      <c r="Y20" s="7">
        <f>IF(Config!$I$14=0,'NET buy'!W20,IF('NET buy'!W20=3000,Config!$I$3,'NET buy'!W20))</f>
        <v>0</v>
      </c>
      <c r="Z20" s="7">
        <f>'NET buy'!X20</f>
        <v>0</v>
      </c>
      <c r="AA20" s="7">
        <f>IF(Config!$I$14=0,'NET buy'!Y20,IF('NET buy'!Y20=3000,Config!$I$3,'NET buy'!Y20))</f>
        <v>0</v>
      </c>
      <c r="AB20" s="7">
        <f>'NET buy'!Z20</f>
        <v>0</v>
      </c>
      <c r="AC20" s="7">
        <f>IF(Config!$I$14=0,'NET buy'!AA20,IF('NET buy'!AA20=3000,Config!$I$3,'NET buy'!AA20))</f>
        <v>0</v>
      </c>
      <c r="AD20" s="7">
        <f>'NET buy'!AB20</f>
        <v>0</v>
      </c>
      <c r="AE20" s="7">
        <f>IF(Config!$I$14=0,'NET buy'!AC20,IF('NET buy'!AC20=3000,Config!$I$3,'NET buy'!AC20))</f>
        <v>0</v>
      </c>
      <c r="AF20" s="7">
        <f>'NET buy'!AD20</f>
        <v>0</v>
      </c>
      <c r="AG20" s="7">
        <f>IF(Config!$I$14=0,'NET buy'!AE20,IF('NET buy'!AE20=3000,Config!$I$3,'NET buy'!AE20))</f>
        <v>0</v>
      </c>
      <c r="AH20" s="7">
        <f>'NET buy'!AF20</f>
        <v>0</v>
      </c>
      <c r="AI20" s="7">
        <f>IF(Config!$I$14=0,'NET buy'!AG20,IF('NET buy'!AG20=3000,Config!$I$3,'NET buy'!AG20))</f>
        <v>0</v>
      </c>
      <c r="AJ20" s="7">
        <f>'NET buy'!AH20</f>
        <v>0</v>
      </c>
      <c r="AK20" s="7">
        <f>IF(Config!$I$14=0,'NET buy'!AI20,IF('NET buy'!AI20=3000,Config!$I$3,'NET buy'!AI20))</f>
        <v>0</v>
      </c>
      <c r="AL20" s="7">
        <f>'NET buy'!AJ20</f>
        <v>0</v>
      </c>
      <c r="AM20" s="7">
        <f>IF(Config!$I$14=0,'NET buy'!AK20,IF('NET buy'!AK20=3000,Config!$I$3,'NET buy'!AK20))</f>
        <v>0</v>
      </c>
      <c r="AN20" s="7">
        <f>'NET buy'!AL20</f>
        <v>0</v>
      </c>
      <c r="AO20" s="7">
        <f>IF(Config!$I$14=0,'NET buy'!AM20,IF('NET buy'!AM20=3000,Config!$I$3,'NET buy'!AM20))</f>
        <v>0</v>
      </c>
      <c r="AP20" s="7">
        <f>'NET buy'!AN20</f>
        <v>0</v>
      </c>
      <c r="AQ20" s="7">
        <f>IF(Config!$I$14=0,'NET buy'!AO20,IF('NET buy'!AO20=3000,Config!$I$3,'NET buy'!AO20))</f>
        <v>0</v>
      </c>
      <c r="AR20" s="7">
        <f>'NET buy'!AP20</f>
        <v>0</v>
      </c>
      <c r="AS20" s="7">
        <f>IF(Config!$I$14=0,'NET buy'!AQ20,IF('NET buy'!AQ20=3000,Config!$I$3,'NET buy'!AQ20))</f>
        <v>0</v>
      </c>
      <c r="AT20" s="7">
        <f>'NET buy'!AR20</f>
        <v>0</v>
      </c>
      <c r="AU20" s="7">
        <f>IF(Config!$I$14=0,'NET buy'!AS20,IF('NET buy'!AS20=3000,Config!$I$3,'NET buy'!AS20))</f>
        <v>0</v>
      </c>
      <c r="AV20" s="7">
        <f>'NET buy'!AT20</f>
        <v>0</v>
      </c>
      <c r="AW20" s="7">
        <f>IF(Config!$I$14=0,'NET buy'!AU20,IF('NET buy'!AU20=3000,Config!$I$3,'NET buy'!AU20))</f>
        <v>0</v>
      </c>
      <c r="AX20" s="7">
        <f>'NET buy'!AV20</f>
        <v>0</v>
      </c>
      <c r="AY20" s="8">
        <f>IF(Config!$I$14=0,'NET buy'!AW20,IF('NET buy'!AW20=3000,Config!$I$3,'NET buy'!AW20))</f>
        <v>0</v>
      </c>
    </row>
    <row r="21" spans="1:51">
      <c r="A21" s="6">
        <v>17</v>
      </c>
      <c r="B21" s="31">
        <f>'Check_netting_ETS_G&amp;P'!G21</f>
        <v>0</v>
      </c>
      <c r="C21" s="7">
        <f>IF(B21=0,0,Config!$I$3)</f>
        <v>0</v>
      </c>
      <c r="D21" s="7">
        <f>'NET buy'!B21</f>
        <v>32.299999999999997</v>
      </c>
      <c r="E21" s="7">
        <f>IF(Config!$I$14=0,'NET buy'!C21,IF('NET buy'!C21=3000,Config!$I$3,'NET buy'!C21))</f>
        <v>3000</v>
      </c>
      <c r="F21" s="7">
        <f>'NET buy'!D21</f>
        <v>0</v>
      </c>
      <c r="G21" s="7">
        <f>IF(Config!$I$14=0,'NET buy'!E21,IF('NET buy'!E21=3000,Config!$I$3,'NET buy'!E21))</f>
        <v>0</v>
      </c>
      <c r="H21" s="7">
        <f>'NET buy'!F21</f>
        <v>0</v>
      </c>
      <c r="I21" s="7">
        <f>IF(Config!$I$14=0,'NET buy'!G21,IF('NET buy'!G21=3000,Config!$I$3,'NET buy'!G21))</f>
        <v>0</v>
      </c>
      <c r="J21" s="7">
        <f>'NET buy'!H21</f>
        <v>0</v>
      </c>
      <c r="K21" s="7">
        <f>IF(Config!$I$14=0,'NET buy'!I21,IF('NET buy'!I21=3000,Config!$I$3,'NET buy'!I21))</f>
        <v>0</v>
      </c>
      <c r="L21" s="7">
        <f>'NET buy'!J21</f>
        <v>0</v>
      </c>
      <c r="M21" s="7">
        <f>IF(Config!$I$14=0,'NET buy'!K21,IF('NET buy'!K21=3000,Config!$I$3,'NET buy'!K21))</f>
        <v>0</v>
      </c>
      <c r="N21" s="7">
        <f>'NET buy'!L21</f>
        <v>0</v>
      </c>
      <c r="O21" s="7">
        <f>IF(Config!$I$14=0,'NET buy'!M21,IF('NET buy'!M21=3000,Config!$I$3,'NET buy'!M21))</f>
        <v>0</v>
      </c>
      <c r="P21" s="7">
        <f>'NET buy'!N21</f>
        <v>0</v>
      </c>
      <c r="Q21" s="7">
        <f>IF(Config!$I$14=0,'NET buy'!O21,IF('NET buy'!O21=3000,Config!$I$3,'NET buy'!O21))</f>
        <v>0</v>
      </c>
      <c r="R21" s="7">
        <f>'NET buy'!P21</f>
        <v>0</v>
      </c>
      <c r="S21" s="7">
        <f>IF(Config!$I$14=0,'NET buy'!Q21,IF('NET buy'!Q21=3000,Config!$I$3,'NET buy'!Q21))</f>
        <v>0</v>
      </c>
      <c r="T21" s="7">
        <f>'NET buy'!R21</f>
        <v>0</v>
      </c>
      <c r="U21" s="7">
        <f>IF(Config!$I$14=0,'NET buy'!S21,IF('NET buy'!S21=3000,Config!$I$3,'NET buy'!S21))</f>
        <v>0</v>
      </c>
      <c r="V21" s="7">
        <f>'NET buy'!T21</f>
        <v>0</v>
      </c>
      <c r="W21" s="7">
        <f>IF(Config!$I$14=0,'NET buy'!U21,IF('NET buy'!U21=3000,Config!$I$3,'NET buy'!U21))</f>
        <v>0</v>
      </c>
      <c r="X21" s="7">
        <f>'NET buy'!V21</f>
        <v>0</v>
      </c>
      <c r="Y21" s="7">
        <f>IF(Config!$I$14=0,'NET buy'!W21,IF('NET buy'!W21=3000,Config!$I$3,'NET buy'!W21))</f>
        <v>0</v>
      </c>
      <c r="Z21" s="7">
        <f>'NET buy'!X21</f>
        <v>0</v>
      </c>
      <c r="AA21" s="7">
        <f>IF(Config!$I$14=0,'NET buy'!Y21,IF('NET buy'!Y21=3000,Config!$I$3,'NET buy'!Y21))</f>
        <v>0</v>
      </c>
      <c r="AB21" s="7">
        <f>'NET buy'!Z21</f>
        <v>0</v>
      </c>
      <c r="AC21" s="7">
        <f>IF(Config!$I$14=0,'NET buy'!AA21,IF('NET buy'!AA21=3000,Config!$I$3,'NET buy'!AA21))</f>
        <v>0</v>
      </c>
      <c r="AD21" s="7">
        <f>'NET buy'!AB21</f>
        <v>0</v>
      </c>
      <c r="AE21" s="7">
        <f>IF(Config!$I$14=0,'NET buy'!AC21,IF('NET buy'!AC21=3000,Config!$I$3,'NET buy'!AC21))</f>
        <v>0</v>
      </c>
      <c r="AF21" s="7">
        <f>'NET buy'!AD21</f>
        <v>0</v>
      </c>
      <c r="AG21" s="7">
        <f>IF(Config!$I$14=0,'NET buy'!AE21,IF('NET buy'!AE21=3000,Config!$I$3,'NET buy'!AE21))</f>
        <v>0</v>
      </c>
      <c r="AH21" s="7">
        <f>'NET buy'!AF21</f>
        <v>0</v>
      </c>
      <c r="AI21" s="7">
        <f>IF(Config!$I$14=0,'NET buy'!AG21,IF('NET buy'!AG21=3000,Config!$I$3,'NET buy'!AG21))</f>
        <v>0</v>
      </c>
      <c r="AJ21" s="7">
        <f>'NET buy'!AH21</f>
        <v>0</v>
      </c>
      <c r="AK21" s="7">
        <f>IF(Config!$I$14=0,'NET buy'!AI21,IF('NET buy'!AI21=3000,Config!$I$3,'NET buy'!AI21))</f>
        <v>0</v>
      </c>
      <c r="AL21" s="7">
        <f>'NET buy'!AJ21</f>
        <v>0</v>
      </c>
      <c r="AM21" s="7">
        <f>IF(Config!$I$14=0,'NET buy'!AK21,IF('NET buy'!AK21=3000,Config!$I$3,'NET buy'!AK21))</f>
        <v>0</v>
      </c>
      <c r="AN21" s="7">
        <f>'NET buy'!AL21</f>
        <v>0</v>
      </c>
      <c r="AO21" s="7">
        <f>IF(Config!$I$14=0,'NET buy'!AM21,IF('NET buy'!AM21=3000,Config!$I$3,'NET buy'!AM21))</f>
        <v>0</v>
      </c>
      <c r="AP21" s="7">
        <f>'NET buy'!AN21</f>
        <v>0</v>
      </c>
      <c r="AQ21" s="7">
        <f>IF(Config!$I$14=0,'NET buy'!AO21,IF('NET buy'!AO21=3000,Config!$I$3,'NET buy'!AO21))</f>
        <v>0</v>
      </c>
      <c r="AR21" s="7">
        <f>'NET buy'!AP21</f>
        <v>0</v>
      </c>
      <c r="AS21" s="7">
        <f>IF(Config!$I$14=0,'NET buy'!AQ21,IF('NET buy'!AQ21=3000,Config!$I$3,'NET buy'!AQ21))</f>
        <v>0</v>
      </c>
      <c r="AT21" s="7">
        <f>'NET buy'!AR21</f>
        <v>0</v>
      </c>
      <c r="AU21" s="7">
        <f>IF(Config!$I$14=0,'NET buy'!AS21,IF('NET buy'!AS21=3000,Config!$I$3,'NET buy'!AS21))</f>
        <v>0</v>
      </c>
      <c r="AV21" s="7">
        <f>'NET buy'!AT21</f>
        <v>0</v>
      </c>
      <c r="AW21" s="7">
        <f>IF(Config!$I$14=0,'NET buy'!AU21,IF('NET buy'!AU21=3000,Config!$I$3,'NET buy'!AU21))</f>
        <v>0</v>
      </c>
      <c r="AX21" s="7">
        <f>'NET buy'!AV21</f>
        <v>0</v>
      </c>
      <c r="AY21" s="8">
        <f>IF(Config!$I$14=0,'NET buy'!AW21,IF('NET buy'!AW21=3000,Config!$I$3,'NET buy'!AW21))</f>
        <v>0</v>
      </c>
    </row>
    <row r="22" spans="1:51">
      <c r="A22" s="6">
        <v>18</v>
      </c>
      <c r="B22" s="31">
        <f>'Check_netting_ETS_G&amp;P'!G22</f>
        <v>0</v>
      </c>
      <c r="C22" s="7">
        <f>IF(B22=0,0,Config!$I$3)</f>
        <v>0</v>
      </c>
      <c r="D22" s="7">
        <f>'NET buy'!B22</f>
        <v>31.5</v>
      </c>
      <c r="E22" s="7">
        <f>IF(Config!$I$14=0,'NET buy'!C22,IF('NET buy'!C22=3000,Config!$I$3,'NET buy'!C22))</f>
        <v>3000</v>
      </c>
      <c r="F22" s="7">
        <f>'NET buy'!D22</f>
        <v>0</v>
      </c>
      <c r="G22" s="7">
        <f>IF(Config!$I$14=0,'NET buy'!E22,IF('NET buy'!E22=3000,Config!$I$3,'NET buy'!E22))</f>
        <v>0</v>
      </c>
      <c r="H22" s="7">
        <f>'NET buy'!F22</f>
        <v>0</v>
      </c>
      <c r="I22" s="7">
        <f>IF(Config!$I$14=0,'NET buy'!G22,IF('NET buy'!G22=3000,Config!$I$3,'NET buy'!G22))</f>
        <v>0</v>
      </c>
      <c r="J22" s="7">
        <f>'NET buy'!H22</f>
        <v>0</v>
      </c>
      <c r="K22" s="7">
        <f>IF(Config!$I$14=0,'NET buy'!I22,IF('NET buy'!I22=3000,Config!$I$3,'NET buy'!I22))</f>
        <v>0</v>
      </c>
      <c r="L22" s="7">
        <f>'NET buy'!J22</f>
        <v>0</v>
      </c>
      <c r="M22" s="7">
        <f>IF(Config!$I$14=0,'NET buy'!K22,IF('NET buy'!K22=3000,Config!$I$3,'NET buy'!K22))</f>
        <v>0</v>
      </c>
      <c r="N22" s="7">
        <f>'NET buy'!L22</f>
        <v>0</v>
      </c>
      <c r="O22" s="7">
        <f>IF(Config!$I$14=0,'NET buy'!M22,IF('NET buy'!M22=3000,Config!$I$3,'NET buy'!M22))</f>
        <v>0</v>
      </c>
      <c r="P22" s="7">
        <f>'NET buy'!N22</f>
        <v>0</v>
      </c>
      <c r="Q22" s="7">
        <f>IF(Config!$I$14=0,'NET buy'!O22,IF('NET buy'!O22=3000,Config!$I$3,'NET buy'!O22))</f>
        <v>0</v>
      </c>
      <c r="R22" s="7">
        <f>'NET buy'!P22</f>
        <v>0</v>
      </c>
      <c r="S22" s="7">
        <f>IF(Config!$I$14=0,'NET buy'!Q22,IF('NET buy'!Q22=3000,Config!$I$3,'NET buy'!Q22))</f>
        <v>0</v>
      </c>
      <c r="T22" s="7">
        <f>'NET buy'!R22</f>
        <v>0</v>
      </c>
      <c r="U22" s="7">
        <f>IF(Config!$I$14=0,'NET buy'!S22,IF('NET buy'!S22=3000,Config!$I$3,'NET buy'!S22))</f>
        <v>0</v>
      </c>
      <c r="V22" s="7">
        <f>'NET buy'!T22</f>
        <v>0</v>
      </c>
      <c r="W22" s="7">
        <f>IF(Config!$I$14=0,'NET buy'!U22,IF('NET buy'!U22=3000,Config!$I$3,'NET buy'!U22))</f>
        <v>0</v>
      </c>
      <c r="X22" s="7">
        <f>'NET buy'!V22</f>
        <v>0</v>
      </c>
      <c r="Y22" s="7">
        <f>IF(Config!$I$14=0,'NET buy'!W22,IF('NET buy'!W22=3000,Config!$I$3,'NET buy'!W22))</f>
        <v>0</v>
      </c>
      <c r="Z22" s="7">
        <f>'NET buy'!X22</f>
        <v>0</v>
      </c>
      <c r="AA22" s="7">
        <f>IF(Config!$I$14=0,'NET buy'!Y22,IF('NET buy'!Y22=3000,Config!$I$3,'NET buy'!Y22))</f>
        <v>0</v>
      </c>
      <c r="AB22" s="7">
        <f>'NET buy'!Z22</f>
        <v>0</v>
      </c>
      <c r="AC22" s="7">
        <f>IF(Config!$I$14=0,'NET buy'!AA22,IF('NET buy'!AA22=3000,Config!$I$3,'NET buy'!AA22))</f>
        <v>0</v>
      </c>
      <c r="AD22" s="7">
        <f>'NET buy'!AB22</f>
        <v>0</v>
      </c>
      <c r="AE22" s="7">
        <f>IF(Config!$I$14=0,'NET buy'!AC22,IF('NET buy'!AC22=3000,Config!$I$3,'NET buy'!AC22))</f>
        <v>0</v>
      </c>
      <c r="AF22" s="7">
        <f>'NET buy'!AD22</f>
        <v>0</v>
      </c>
      <c r="AG22" s="7">
        <f>IF(Config!$I$14=0,'NET buy'!AE22,IF('NET buy'!AE22=3000,Config!$I$3,'NET buy'!AE22))</f>
        <v>0</v>
      </c>
      <c r="AH22" s="7">
        <f>'NET buy'!AF22</f>
        <v>0</v>
      </c>
      <c r="AI22" s="7">
        <f>IF(Config!$I$14=0,'NET buy'!AG22,IF('NET buy'!AG22=3000,Config!$I$3,'NET buy'!AG22))</f>
        <v>0</v>
      </c>
      <c r="AJ22" s="7">
        <f>'NET buy'!AH22</f>
        <v>0</v>
      </c>
      <c r="AK22" s="7">
        <f>IF(Config!$I$14=0,'NET buy'!AI22,IF('NET buy'!AI22=3000,Config!$I$3,'NET buy'!AI22))</f>
        <v>0</v>
      </c>
      <c r="AL22" s="7">
        <f>'NET buy'!AJ22</f>
        <v>0</v>
      </c>
      <c r="AM22" s="7">
        <f>IF(Config!$I$14=0,'NET buy'!AK22,IF('NET buy'!AK22=3000,Config!$I$3,'NET buy'!AK22))</f>
        <v>0</v>
      </c>
      <c r="AN22" s="7">
        <f>'NET buy'!AL22</f>
        <v>0</v>
      </c>
      <c r="AO22" s="7">
        <f>IF(Config!$I$14=0,'NET buy'!AM22,IF('NET buy'!AM22=3000,Config!$I$3,'NET buy'!AM22))</f>
        <v>0</v>
      </c>
      <c r="AP22" s="7">
        <f>'NET buy'!AN22</f>
        <v>0</v>
      </c>
      <c r="AQ22" s="7">
        <f>IF(Config!$I$14=0,'NET buy'!AO22,IF('NET buy'!AO22=3000,Config!$I$3,'NET buy'!AO22))</f>
        <v>0</v>
      </c>
      <c r="AR22" s="7">
        <f>'NET buy'!AP22</f>
        <v>0</v>
      </c>
      <c r="AS22" s="7">
        <f>IF(Config!$I$14=0,'NET buy'!AQ22,IF('NET buy'!AQ22=3000,Config!$I$3,'NET buy'!AQ22))</f>
        <v>0</v>
      </c>
      <c r="AT22" s="7">
        <f>'NET buy'!AR22</f>
        <v>0</v>
      </c>
      <c r="AU22" s="7">
        <f>IF(Config!$I$14=0,'NET buy'!AS22,IF('NET buy'!AS22=3000,Config!$I$3,'NET buy'!AS22))</f>
        <v>0</v>
      </c>
      <c r="AV22" s="7">
        <f>'NET buy'!AT22</f>
        <v>0</v>
      </c>
      <c r="AW22" s="7">
        <f>IF(Config!$I$14=0,'NET buy'!AU22,IF('NET buy'!AU22=3000,Config!$I$3,'NET buy'!AU22))</f>
        <v>0</v>
      </c>
      <c r="AX22" s="7">
        <f>'NET buy'!AV22</f>
        <v>0</v>
      </c>
      <c r="AY22" s="8">
        <f>IF(Config!$I$14=0,'NET buy'!AW22,IF('NET buy'!AW22=3000,Config!$I$3,'NET buy'!AW22))</f>
        <v>0</v>
      </c>
    </row>
    <row r="23" spans="1:51">
      <c r="A23" s="6">
        <v>19</v>
      </c>
      <c r="B23" s="31">
        <f>'Check_netting_ETS_G&amp;P'!G23</f>
        <v>0</v>
      </c>
      <c r="C23" s="7">
        <f>IF(B23=0,0,Config!$I$3)</f>
        <v>0</v>
      </c>
      <c r="D23" s="7">
        <f>'NET buy'!B23</f>
        <v>31.4</v>
      </c>
      <c r="E23" s="7">
        <f>IF(Config!$I$14=0,'NET buy'!C23,IF('NET buy'!C23=3000,Config!$I$3,'NET buy'!C23))</f>
        <v>3000</v>
      </c>
      <c r="F23" s="7">
        <f>'NET buy'!D23</f>
        <v>0</v>
      </c>
      <c r="G23" s="7">
        <f>IF(Config!$I$14=0,'NET buy'!E23,IF('NET buy'!E23=3000,Config!$I$3,'NET buy'!E23))</f>
        <v>0</v>
      </c>
      <c r="H23" s="7">
        <f>'NET buy'!F23</f>
        <v>0</v>
      </c>
      <c r="I23" s="7">
        <f>IF(Config!$I$14=0,'NET buy'!G23,IF('NET buy'!G23=3000,Config!$I$3,'NET buy'!G23))</f>
        <v>0</v>
      </c>
      <c r="J23" s="7">
        <f>'NET buy'!H23</f>
        <v>0</v>
      </c>
      <c r="K23" s="7">
        <f>IF(Config!$I$14=0,'NET buy'!I23,IF('NET buy'!I23=3000,Config!$I$3,'NET buy'!I23))</f>
        <v>0</v>
      </c>
      <c r="L23" s="7">
        <f>'NET buy'!J23</f>
        <v>0</v>
      </c>
      <c r="M23" s="7">
        <f>IF(Config!$I$14=0,'NET buy'!K23,IF('NET buy'!K23=3000,Config!$I$3,'NET buy'!K23))</f>
        <v>0</v>
      </c>
      <c r="N23" s="7">
        <f>'NET buy'!L23</f>
        <v>0</v>
      </c>
      <c r="O23" s="7">
        <f>IF(Config!$I$14=0,'NET buy'!M23,IF('NET buy'!M23=3000,Config!$I$3,'NET buy'!M23))</f>
        <v>0</v>
      </c>
      <c r="P23" s="7">
        <f>'NET buy'!N23</f>
        <v>0</v>
      </c>
      <c r="Q23" s="7">
        <f>IF(Config!$I$14=0,'NET buy'!O23,IF('NET buy'!O23=3000,Config!$I$3,'NET buy'!O23))</f>
        <v>0</v>
      </c>
      <c r="R23" s="7">
        <f>'NET buy'!P23</f>
        <v>0</v>
      </c>
      <c r="S23" s="7">
        <f>IF(Config!$I$14=0,'NET buy'!Q23,IF('NET buy'!Q23=3000,Config!$I$3,'NET buy'!Q23))</f>
        <v>0</v>
      </c>
      <c r="T23" s="7">
        <f>'NET buy'!R23</f>
        <v>0</v>
      </c>
      <c r="U23" s="7">
        <f>IF(Config!$I$14=0,'NET buy'!S23,IF('NET buy'!S23=3000,Config!$I$3,'NET buy'!S23))</f>
        <v>0</v>
      </c>
      <c r="V23" s="7">
        <f>'NET buy'!T23</f>
        <v>0</v>
      </c>
      <c r="W23" s="7">
        <f>IF(Config!$I$14=0,'NET buy'!U23,IF('NET buy'!U23=3000,Config!$I$3,'NET buy'!U23))</f>
        <v>0</v>
      </c>
      <c r="X23" s="7">
        <f>'NET buy'!V23</f>
        <v>0</v>
      </c>
      <c r="Y23" s="7">
        <f>IF(Config!$I$14=0,'NET buy'!W23,IF('NET buy'!W23=3000,Config!$I$3,'NET buy'!W23))</f>
        <v>0</v>
      </c>
      <c r="Z23" s="7">
        <f>'NET buy'!X23</f>
        <v>0</v>
      </c>
      <c r="AA23" s="7">
        <f>IF(Config!$I$14=0,'NET buy'!Y23,IF('NET buy'!Y23=3000,Config!$I$3,'NET buy'!Y23))</f>
        <v>0</v>
      </c>
      <c r="AB23" s="7">
        <f>'NET buy'!Z23</f>
        <v>0</v>
      </c>
      <c r="AC23" s="7">
        <f>IF(Config!$I$14=0,'NET buy'!AA23,IF('NET buy'!AA23=3000,Config!$I$3,'NET buy'!AA23))</f>
        <v>0</v>
      </c>
      <c r="AD23" s="7">
        <f>'NET buy'!AB23</f>
        <v>0</v>
      </c>
      <c r="AE23" s="7">
        <f>IF(Config!$I$14=0,'NET buy'!AC23,IF('NET buy'!AC23=3000,Config!$I$3,'NET buy'!AC23))</f>
        <v>0</v>
      </c>
      <c r="AF23" s="7">
        <f>'NET buy'!AD23</f>
        <v>0</v>
      </c>
      <c r="AG23" s="7">
        <f>IF(Config!$I$14=0,'NET buy'!AE23,IF('NET buy'!AE23=3000,Config!$I$3,'NET buy'!AE23))</f>
        <v>0</v>
      </c>
      <c r="AH23" s="7">
        <f>'NET buy'!AF23</f>
        <v>0</v>
      </c>
      <c r="AI23" s="7">
        <f>IF(Config!$I$14=0,'NET buy'!AG23,IF('NET buy'!AG23=3000,Config!$I$3,'NET buy'!AG23))</f>
        <v>0</v>
      </c>
      <c r="AJ23" s="7">
        <f>'NET buy'!AH23</f>
        <v>0</v>
      </c>
      <c r="AK23" s="7">
        <f>IF(Config!$I$14=0,'NET buy'!AI23,IF('NET buy'!AI23=3000,Config!$I$3,'NET buy'!AI23))</f>
        <v>0</v>
      </c>
      <c r="AL23" s="7">
        <f>'NET buy'!AJ23</f>
        <v>0</v>
      </c>
      <c r="AM23" s="7">
        <f>IF(Config!$I$14=0,'NET buy'!AK23,IF('NET buy'!AK23=3000,Config!$I$3,'NET buy'!AK23))</f>
        <v>0</v>
      </c>
      <c r="AN23" s="7">
        <f>'NET buy'!AL23</f>
        <v>0</v>
      </c>
      <c r="AO23" s="7">
        <f>IF(Config!$I$14=0,'NET buy'!AM23,IF('NET buy'!AM23=3000,Config!$I$3,'NET buy'!AM23))</f>
        <v>0</v>
      </c>
      <c r="AP23" s="7">
        <f>'NET buy'!AN23</f>
        <v>0</v>
      </c>
      <c r="AQ23" s="7">
        <f>IF(Config!$I$14=0,'NET buy'!AO23,IF('NET buy'!AO23=3000,Config!$I$3,'NET buy'!AO23))</f>
        <v>0</v>
      </c>
      <c r="AR23" s="7">
        <f>'NET buy'!AP23</f>
        <v>0</v>
      </c>
      <c r="AS23" s="7">
        <f>IF(Config!$I$14=0,'NET buy'!AQ23,IF('NET buy'!AQ23=3000,Config!$I$3,'NET buy'!AQ23))</f>
        <v>0</v>
      </c>
      <c r="AT23" s="7">
        <f>'NET buy'!AR23</f>
        <v>0</v>
      </c>
      <c r="AU23" s="7">
        <f>IF(Config!$I$14=0,'NET buy'!AS23,IF('NET buy'!AS23=3000,Config!$I$3,'NET buy'!AS23))</f>
        <v>0</v>
      </c>
      <c r="AV23" s="7">
        <f>'NET buy'!AT23</f>
        <v>0</v>
      </c>
      <c r="AW23" s="7">
        <f>IF(Config!$I$14=0,'NET buy'!AU23,IF('NET buy'!AU23=3000,Config!$I$3,'NET buy'!AU23))</f>
        <v>0</v>
      </c>
      <c r="AX23" s="7">
        <f>'NET buy'!AV23</f>
        <v>0</v>
      </c>
      <c r="AY23" s="8">
        <f>IF(Config!$I$14=0,'NET buy'!AW23,IF('NET buy'!AW23=3000,Config!$I$3,'NET buy'!AW23))</f>
        <v>0</v>
      </c>
    </row>
    <row r="24" spans="1:51">
      <c r="A24" s="6">
        <v>20</v>
      </c>
      <c r="B24" s="31">
        <f>'Check_netting_ETS_G&amp;P'!G24</f>
        <v>0</v>
      </c>
      <c r="C24" s="7">
        <f>IF(B24=0,0,Config!$I$3)</f>
        <v>0</v>
      </c>
      <c r="D24" s="7">
        <f>'NET buy'!B24</f>
        <v>31.4</v>
      </c>
      <c r="E24" s="7">
        <f>IF(Config!$I$14=0,'NET buy'!C24,IF('NET buy'!C24=3000,Config!$I$3,'NET buy'!C24))</f>
        <v>3000</v>
      </c>
      <c r="F24" s="7">
        <f>'NET buy'!D24</f>
        <v>0</v>
      </c>
      <c r="G24" s="7">
        <f>IF(Config!$I$14=0,'NET buy'!E24,IF('NET buy'!E24=3000,Config!$I$3,'NET buy'!E24))</f>
        <v>0</v>
      </c>
      <c r="H24" s="7">
        <f>'NET buy'!F24</f>
        <v>0</v>
      </c>
      <c r="I24" s="7">
        <f>IF(Config!$I$14=0,'NET buy'!G24,IF('NET buy'!G24=3000,Config!$I$3,'NET buy'!G24))</f>
        <v>0</v>
      </c>
      <c r="J24" s="7">
        <f>'NET buy'!H24</f>
        <v>0</v>
      </c>
      <c r="K24" s="7">
        <f>IF(Config!$I$14=0,'NET buy'!I24,IF('NET buy'!I24=3000,Config!$I$3,'NET buy'!I24))</f>
        <v>0</v>
      </c>
      <c r="L24" s="7">
        <f>'NET buy'!J24</f>
        <v>0</v>
      </c>
      <c r="M24" s="7">
        <f>IF(Config!$I$14=0,'NET buy'!K24,IF('NET buy'!K24=3000,Config!$I$3,'NET buy'!K24))</f>
        <v>0</v>
      </c>
      <c r="N24" s="7">
        <f>'NET buy'!L24</f>
        <v>0</v>
      </c>
      <c r="O24" s="7">
        <f>IF(Config!$I$14=0,'NET buy'!M24,IF('NET buy'!M24=3000,Config!$I$3,'NET buy'!M24))</f>
        <v>0</v>
      </c>
      <c r="P24" s="7">
        <f>'NET buy'!N24</f>
        <v>0</v>
      </c>
      <c r="Q24" s="7">
        <f>IF(Config!$I$14=0,'NET buy'!O24,IF('NET buy'!O24=3000,Config!$I$3,'NET buy'!O24))</f>
        <v>0</v>
      </c>
      <c r="R24" s="7">
        <f>'NET buy'!P24</f>
        <v>0</v>
      </c>
      <c r="S24" s="7">
        <f>IF(Config!$I$14=0,'NET buy'!Q24,IF('NET buy'!Q24=3000,Config!$I$3,'NET buy'!Q24))</f>
        <v>0</v>
      </c>
      <c r="T24" s="7">
        <f>'NET buy'!R24</f>
        <v>0</v>
      </c>
      <c r="U24" s="7">
        <f>IF(Config!$I$14=0,'NET buy'!S24,IF('NET buy'!S24=3000,Config!$I$3,'NET buy'!S24))</f>
        <v>0</v>
      </c>
      <c r="V24" s="7">
        <f>'NET buy'!T24</f>
        <v>0</v>
      </c>
      <c r="W24" s="7">
        <f>IF(Config!$I$14=0,'NET buy'!U24,IF('NET buy'!U24=3000,Config!$I$3,'NET buy'!U24))</f>
        <v>0</v>
      </c>
      <c r="X24" s="7">
        <f>'NET buy'!V24</f>
        <v>0</v>
      </c>
      <c r="Y24" s="7">
        <f>IF(Config!$I$14=0,'NET buy'!W24,IF('NET buy'!W24=3000,Config!$I$3,'NET buy'!W24))</f>
        <v>0</v>
      </c>
      <c r="Z24" s="7">
        <f>'NET buy'!X24</f>
        <v>0</v>
      </c>
      <c r="AA24" s="7">
        <f>IF(Config!$I$14=0,'NET buy'!Y24,IF('NET buy'!Y24=3000,Config!$I$3,'NET buy'!Y24))</f>
        <v>0</v>
      </c>
      <c r="AB24" s="7">
        <f>'NET buy'!Z24</f>
        <v>0</v>
      </c>
      <c r="AC24" s="7">
        <f>IF(Config!$I$14=0,'NET buy'!AA24,IF('NET buy'!AA24=3000,Config!$I$3,'NET buy'!AA24))</f>
        <v>0</v>
      </c>
      <c r="AD24" s="7">
        <f>'NET buy'!AB24</f>
        <v>0</v>
      </c>
      <c r="AE24" s="7">
        <f>IF(Config!$I$14=0,'NET buy'!AC24,IF('NET buy'!AC24=3000,Config!$I$3,'NET buy'!AC24))</f>
        <v>0</v>
      </c>
      <c r="AF24" s="7">
        <f>'NET buy'!AD24</f>
        <v>0</v>
      </c>
      <c r="AG24" s="7">
        <f>IF(Config!$I$14=0,'NET buy'!AE24,IF('NET buy'!AE24=3000,Config!$I$3,'NET buy'!AE24))</f>
        <v>0</v>
      </c>
      <c r="AH24" s="7">
        <f>'NET buy'!AF24</f>
        <v>0</v>
      </c>
      <c r="AI24" s="7">
        <f>IF(Config!$I$14=0,'NET buy'!AG24,IF('NET buy'!AG24=3000,Config!$I$3,'NET buy'!AG24))</f>
        <v>0</v>
      </c>
      <c r="AJ24" s="7">
        <f>'NET buy'!AH24</f>
        <v>0</v>
      </c>
      <c r="AK24" s="7">
        <f>IF(Config!$I$14=0,'NET buy'!AI24,IF('NET buy'!AI24=3000,Config!$I$3,'NET buy'!AI24))</f>
        <v>0</v>
      </c>
      <c r="AL24" s="7">
        <f>'NET buy'!AJ24</f>
        <v>0</v>
      </c>
      <c r="AM24" s="7">
        <f>IF(Config!$I$14=0,'NET buy'!AK24,IF('NET buy'!AK24=3000,Config!$I$3,'NET buy'!AK24))</f>
        <v>0</v>
      </c>
      <c r="AN24" s="7">
        <f>'NET buy'!AL24</f>
        <v>0</v>
      </c>
      <c r="AO24" s="7">
        <f>IF(Config!$I$14=0,'NET buy'!AM24,IF('NET buy'!AM24=3000,Config!$I$3,'NET buy'!AM24))</f>
        <v>0</v>
      </c>
      <c r="AP24" s="7">
        <f>'NET buy'!AN24</f>
        <v>0</v>
      </c>
      <c r="AQ24" s="7">
        <f>IF(Config!$I$14=0,'NET buy'!AO24,IF('NET buy'!AO24=3000,Config!$I$3,'NET buy'!AO24))</f>
        <v>0</v>
      </c>
      <c r="AR24" s="7">
        <f>'NET buy'!AP24</f>
        <v>0</v>
      </c>
      <c r="AS24" s="7">
        <f>IF(Config!$I$14=0,'NET buy'!AQ24,IF('NET buy'!AQ24=3000,Config!$I$3,'NET buy'!AQ24))</f>
        <v>0</v>
      </c>
      <c r="AT24" s="7">
        <f>'NET buy'!AR24</f>
        <v>0</v>
      </c>
      <c r="AU24" s="7">
        <f>IF(Config!$I$14=0,'NET buy'!AS24,IF('NET buy'!AS24=3000,Config!$I$3,'NET buy'!AS24))</f>
        <v>0</v>
      </c>
      <c r="AV24" s="7">
        <f>'NET buy'!AT24</f>
        <v>0</v>
      </c>
      <c r="AW24" s="7">
        <f>IF(Config!$I$14=0,'NET buy'!AU24,IF('NET buy'!AU24=3000,Config!$I$3,'NET buy'!AU24))</f>
        <v>0</v>
      </c>
      <c r="AX24" s="7">
        <f>'NET buy'!AV24</f>
        <v>0</v>
      </c>
      <c r="AY24" s="8">
        <f>IF(Config!$I$14=0,'NET buy'!AW24,IF('NET buy'!AW24=3000,Config!$I$3,'NET buy'!AW24))</f>
        <v>0</v>
      </c>
    </row>
    <row r="25" spans="1:51">
      <c r="A25" s="6">
        <v>21</v>
      </c>
      <c r="B25" s="31">
        <f>'Check_netting_ETS_G&amp;P'!G25</f>
        <v>21.3</v>
      </c>
      <c r="C25" s="7">
        <f>IF(B25=0,0,Config!$I$3)</f>
        <v>3000</v>
      </c>
      <c r="D25" s="7">
        <f>'NET buy'!B25</f>
        <v>29</v>
      </c>
      <c r="E25" s="7">
        <f>IF(Config!$I$14=0,'NET buy'!C25,IF('NET buy'!C25=3000,Config!$I$3,'NET buy'!C25))</f>
        <v>3000</v>
      </c>
      <c r="F25" s="7">
        <f>'NET buy'!D25</f>
        <v>0</v>
      </c>
      <c r="G25" s="7">
        <f>IF(Config!$I$14=0,'NET buy'!E25,IF('NET buy'!E25=3000,Config!$I$3,'NET buy'!E25))</f>
        <v>0</v>
      </c>
      <c r="H25" s="7">
        <f>'NET buy'!F25</f>
        <v>0</v>
      </c>
      <c r="I25" s="7">
        <f>IF(Config!$I$14=0,'NET buy'!G25,IF('NET buy'!G25=3000,Config!$I$3,'NET buy'!G25))</f>
        <v>0</v>
      </c>
      <c r="J25" s="7">
        <f>'NET buy'!H25</f>
        <v>0</v>
      </c>
      <c r="K25" s="7">
        <f>IF(Config!$I$14=0,'NET buy'!I25,IF('NET buy'!I25=3000,Config!$I$3,'NET buy'!I25))</f>
        <v>0</v>
      </c>
      <c r="L25" s="7">
        <f>'NET buy'!J25</f>
        <v>0</v>
      </c>
      <c r="M25" s="7">
        <f>IF(Config!$I$14=0,'NET buy'!K25,IF('NET buy'!K25=3000,Config!$I$3,'NET buy'!K25))</f>
        <v>0</v>
      </c>
      <c r="N25" s="7">
        <f>'NET buy'!L25</f>
        <v>0</v>
      </c>
      <c r="O25" s="7">
        <f>IF(Config!$I$14=0,'NET buy'!M25,IF('NET buy'!M25=3000,Config!$I$3,'NET buy'!M25))</f>
        <v>0</v>
      </c>
      <c r="P25" s="7">
        <f>'NET buy'!N25</f>
        <v>0</v>
      </c>
      <c r="Q25" s="7">
        <f>IF(Config!$I$14=0,'NET buy'!O25,IF('NET buy'!O25=3000,Config!$I$3,'NET buy'!O25))</f>
        <v>0</v>
      </c>
      <c r="R25" s="7">
        <f>'NET buy'!P25</f>
        <v>0</v>
      </c>
      <c r="S25" s="7">
        <f>IF(Config!$I$14=0,'NET buy'!Q25,IF('NET buy'!Q25=3000,Config!$I$3,'NET buy'!Q25))</f>
        <v>0</v>
      </c>
      <c r="T25" s="7">
        <f>'NET buy'!R25</f>
        <v>0</v>
      </c>
      <c r="U25" s="7">
        <f>IF(Config!$I$14=0,'NET buy'!S25,IF('NET buy'!S25=3000,Config!$I$3,'NET buy'!S25))</f>
        <v>0</v>
      </c>
      <c r="V25" s="7">
        <f>'NET buy'!T25</f>
        <v>0</v>
      </c>
      <c r="W25" s="7">
        <f>IF(Config!$I$14=0,'NET buy'!U25,IF('NET buy'!U25=3000,Config!$I$3,'NET buy'!U25))</f>
        <v>0</v>
      </c>
      <c r="X25" s="7">
        <f>'NET buy'!V25</f>
        <v>0</v>
      </c>
      <c r="Y25" s="7">
        <f>IF(Config!$I$14=0,'NET buy'!W25,IF('NET buy'!W25=3000,Config!$I$3,'NET buy'!W25))</f>
        <v>0</v>
      </c>
      <c r="Z25" s="7">
        <f>'NET buy'!X25</f>
        <v>0</v>
      </c>
      <c r="AA25" s="7">
        <f>IF(Config!$I$14=0,'NET buy'!Y25,IF('NET buy'!Y25=3000,Config!$I$3,'NET buy'!Y25))</f>
        <v>0</v>
      </c>
      <c r="AB25" s="7">
        <f>'NET buy'!Z25</f>
        <v>0</v>
      </c>
      <c r="AC25" s="7">
        <f>IF(Config!$I$14=0,'NET buy'!AA25,IF('NET buy'!AA25=3000,Config!$I$3,'NET buy'!AA25))</f>
        <v>0</v>
      </c>
      <c r="AD25" s="7">
        <f>'NET buy'!AB25</f>
        <v>0</v>
      </c>
      <c r="AE25" s="7">
        <f>IF(Config!$I$14=0,'NET buy'!AC25,IF('NET buy'!AC25=3000,Config!$I$3,'NET buy'!AC25))</f>
        <v>0</v>
      </c>
      <c r="AF25" s="7">
        <f>'NET buy'!AD25</f>
        <v>0</v>
      </c>
      <c r="AG25" s="7">
        <f>IF(Config!$I$14=0,'NET buy'!AE25,IF('NET buy'!AE25=3000,Config!$I$3,'NET buy'!AE25))</f>
        <v>0</v>
      </c>
      <c r="AH25" s="7">
        <f>'NET buy'!AF25</f>
        <v>0</v>
      </c>
      <c r="AI25" s="7">
        <f>IF(Config!$I$14=0,'NET buy'!AG25,IF('NET buy'!AG25=3000,Config!$I$3,'NET buy'!AG25))</f>
        <v>0</v>
      </c>
      <c r="AJ25" s="7">
        <f>'NET buy'!AH25</f>
        <v>0</v>
      </c>
      <c r="AK25" s="7">
        <f>IF(Config!$I$14=0,'NET buy'!AI25,IF('NET buy'!AI25=3000,Config!$I$3,'NET buy'!AI25))</f>
        <v>0</v>
      </c>
      <c r="AL25" s="7">
        <f>'NET buy'!AJ25</f>
        <v>0</v>
      </c>
      <c r="AM25" s="7">
        <f>IF(Config!$I$14=0,'NET buy'!AK25,IF('NET buy'!AK25=3000,Config!$I$3,'NET buy'!AK25))</f>
        <v>0</v>
      </c>
      <c r="AN25" s="7">
        <f>'NET buy'!AL25</f>
        <v>0</v>
      </c>
      <c r="AO25" s="7">
        <f>IF(Config!$I$14=0,'NET buy'!AM25,IF('NET buy'!AM25=3000,Config!$I$3,'NET buy'!AM25))</f>
        <v>0</v>
      </c>
      <c r="AP25" s="7">
        <f>'NET buy'!AN25</f>
        <v>0</v>
      </c>
      <c r="AQ25" s="7">
        <f>IF(Config!$I$14=0,'NET buy'!AO25,IF('NET buy'!AO25=3000,Config!$I$3,'NET buy'!AO25))</f>
        <v>0</v>
      </c>
      <c r="AR25" s="7">
        <f>'NET buy'!AP25</f>
        <v>0</v>
      </c>
      <c r="AS25" s="7">
        <f>IF(Config!$I$14=0,'NET buy'!AQ25,IF('NET buy'!AQ25=3000,Config!$I$3,'NET buy'!AQ25))</f>
        <v>0</v>
      </c>
      <c r="AT25" s="7">
        <f>'NET buy'!AR25</f>
        <v>0</v>
      </c>
      <c r="AU25" s="7">
        <f>IF(Config!$I$14=0,'NET buy'!AS25,IF('NET buy'!AS25=3000,Config!$I$3,'NET buy'!AS25))</f>
        <v>0</v>
      </c>
      <c r="AV25" s="7">
        <f>'NET buy'!AT25</f>
        <v>0</v>
      </c>
      <c r="AW25" s="7">
        <f>IF(Config!$I$14=0,'NET buy'!AU25,IF('NET buy'!AU25=3000,Config!$I$3,'NET buy'!AU25))</f>
        <v>0</v>
      </c>
      <c r="AX25" s="7">
        <f>'NET buy'!AV25</f>
        <v>0</v>
      </c>
      <c r="AY25" s="8">
        <f>IF(Config!$I$14=0,'NET buy'!AW25,IF('NET buy'!AW25=3000,Config!$I$3,'NET buy'!AW25))</f>
        <v>0</v>
      </c>
    </row>
    <row r="26" spans="1:51">
      <c r="A26" s="6">
        <v>22</v>
      </c>
      <c r="B26" s="31">
        <f>'Check_netting_ETS_G&amp;P'!G26</f>
        <v>9.8000000000000007</v>
      </c>
      <c r="C26" s="7">
        <f>IF(B26=0,0,Config!$I$3)</f>
        <v>3000</v>
      </c>
      <c r="D26" s="7">
        <f>'NET buy'!B26</f>
        <v>29</v>
      </c>
      <c r="E26" s="7">
        <f>IF(Config!$I$14=0,'NET buy'!C26,IF('NET buy'!C26=3000,Config!$I$3,'NET buy'!C26))</f>
        <v>3000</v>
      </c>
      <c r="F26" s="7">
        <f>'NET buy'!D26</f>
        <v>0</v>
      </c>
      <c r="G26" s="7">
        <f>IF(Config!$I$14=0,'NET buy'!E26,IF('NET buy'!E26=3000,Config!$I$3,'NET buy'!E26))</f>
        <v>0</v>
      </c>
      <c r="H26" s="7">
        <f>'NET buy'!F26</f>
        <v>0</v>
      </c>
      <c r="I26" s="7">
        <f>IF(Config!$I$14=0,'NET buy'!G26,IF('NET buy'!G26=3000,Config!$I$3,'NET buy'!G26))</f>
        <v>0</v>
      </c>
      <c r="J26" s="7">
        <f>'NET buy'!H26</f>
        <v>0</v>
      </c>
      <c r="K26" s="7">
        <f>IF(Config!$I$14=0,'NET buy'!I26,IF('NET buy'!I26=3000,Config!$I$3,'NET buy'!I26))</f>
        <v>0</v>
      </c>
      <c r="L26" s="7">
        <f>'NET buy'!J26</f>
        <v>0</v>
      </c>
      <c r="M26" s="7">
        <f>IF(Config!$I$14=0,'NET buy'!K26,IF('NET buy'!K26=3000,Config!$I$3,'NET buy'!K26))</f>
        <v>0</v>
      </c>
      <c r="N26" s="7">
        <f>'NET buy'!L26</f>
        <v>0</v>
      </c>
      <c r="O26" s="7">
        <f>IF(Config!$I$14=0,'NET buy'!M26,IF('NET buy'!M26=3000,Config!$I$3,'NET buy'!M26))</f>
        <v>0</v>
      </c>
      <c r="P26" s="7">
        <f>'NET buy'!N26</f>
        <v>0</v>
      </c>
      <c r="Q26" s="7">
        <f>IF(Config!$I$14=0,'NET buy'!O26,IF('NET buy'!O26=3000,Config!$I$3,'NET buy'!O26))</f>
        <v>0</v>
      </c>
      <c r="R26" s="7">
        <f>'NET buy'!P26</f>
        <v>0</v>
      </c>
      <c r="S26" s="7">
        <f>IF(Config!$I$14=0,'NET buy'!Q26,IF('NET buy'!Q26=3000,Config!$I$3,'NET buy'!Q26))</f>
        <v>0</v>
      </c>
      <c r="T26" s="7">
        <f>'NET buy'!R26</f>
        <v>0</v>
      </c>
      <c r="U26" s="7">
        <f>IF(Config!$I$14=0,'NET buy'!S26,IF('NET buy'!S26=3000,Config!$I$3,'NET buy'!S26))</f>
        <v>0</v>
      </c>
      <c r="V26" s="7">
        <f>'NET buy'!T26</f>
        <v>0</v>
      </c>
      <c r="W26" s="7">
        <f>IF(Config!$I$14=0,'NET buy'!U26,IF('NET buy'!U26=3000,Config!$I$3,'NET buy'!U26))</f>
        <v>0</v>
      </c>
      <c r="X26" s="7">
        <f>'NET buy'!V26</f>
        <v>0</v>
      </c>
      <c r="Y26" s="7">
        <f>IF(Config!$I$14=0,'NET buy'!W26,IF('NET buy'!W26=3000,Config!$I$3,'NET buy'!W26))</f>
        <v>0</v>
      </c>
      <c r="Z26" s="7">
        <f>'NET buy'!X26</f>
        <v>0</v>
      </c>
      <c r="AA26" s="7">
        <f>IF(Config!$I$14=0,'NET buy'!Y26,IF('NET buy'!Y26=3000,Config!$I$3,'NET buy'!Y26))</f>
        <v>0</v>
      </c>
      <c r="AB26" s="7">
        <f>'NET buy'!Z26</f>
        <v>0</v>
      </c>
      <c r="AC26" s="7">
        <f>IF(Config!$I$14=0,'NET buy'!AA26,IF('NET buy'!AA26=3000,Config!$I$3,'NET buy'!AA26))</f>
        <v>0</v>
      </c>
      <c r="AD26" s="7">
        <f>'NET buy'!AB26</f>
        <v>0</v>
      </c>
      <c r="AE26" s="7">
        <f>IF(Config!$I$14=0,'NET buy'!AC26,IF('NET buy'!AC26=3000,Config!$I$3,'NET buy'!AC26))</f>
        <v>0</v>
      </c>
      <c r="AF26" s="7">
        <f>'NET buy'!AD26</f>
        <v>0</v>
      </c>
      <c r="AG26" s="7">
        <f>IF(Config!$I$14=0,'NET buy'!AE26,IF('NET buy'!AE26=3000,Config!$I$3,'NET buy'!AE26))</f>
        <v>0</v>
      </c>
      <c r="AH26" s="7">
        <f>'NET buy'!AF26</f>
        <v>0</v>
      </c>
      <c r="AI26" s="7">
        <f>IF(Config!$I$14=0,'NET buy'!AG26,IF('NET buy'!AG26=3000,Config!$I$3,'NET buy'!AG26))</f>
        <v>0</v>
      </c>
      <c r="AJ26" s="7">
        <f>'NET buy'!AH26</f>
        <v>0</v>
      </c>
      <c r="AK26" s="7">
        <f>IF(Config!$I$14=0,'NET buy'!AI26,IF('NET buy'!AI26=3000,Config!$I$3,'NET buy'!AI26))</f>
        <v>0</v>
      </c>
      <c r="AL26" s="7">
        <f>'NET buy'!AJ26</f>
        <v>0</v>
      </c>
      <c r="AM26" s="7">
        <f>IF(Config!$I$14=0,'NET buy'!AK26,IF('NET buy'!AK26=3000,Config!$I$3,'NET buy'!AK26))</f>
        <v>0</v>
      </c>
      <c r="AN26" s="7">
        <f>'NET buy'!AL26</f>
        <v>0</v>
      </c>
      <c r="AO26" s="7">
        <f>IF(Config!$I$14=0,'NET buy'!AM26,IF('NET buy'!AM26=3000,Config!$I$3,'NET buy'!AM26))</f>
        <v>0</v>
      </c>
      <c r="AP26" s="7">
        <f>'NET buy'!AN26</f>
        <v>0</v>
      </c>
      <c r="AQ26" s="7">
        <f>IF(Config!$I$14=0,'NET buy'!AO26,IF('NET buy'!AO26=3000,Config!$I$3,'NET buy'!AO26))</f>
        <v>0</v>
      </c>
      <c r="AR26" s="7">
        <f>'NET buy'!AP26</f>
        <v>0</v>
      </c>
      <c r="AS26" s="7">
        <f>IF(Config!$I$14=0,'NET buy'!AQ26,IF('NET buy'!AQ26=3000,Config!$I$3,'NET buy'!AQ26))</f>
        <v>0</v>
      </c>
      <c r="AT26" s="7">
        <f>'NET buy'!AR26</f>
        <v>0</v>
      </c>
      <c r="AU26" s="7">
        <f>IF(Config!$I$14=0,'NET buy'!AS26,IF('NET buy'!AS26=3000,Config!$I$3,'NET buy'!AS26))</f>
        <v>0</v>
      </c>
      <c r="AV26" s="7">
        <f>'NET buy'!AT26</f>
        <v>0</v>
      </c>
      <c r="AW26" s="7">
        <f>IF(Config!$I$14=0,'NET buy'!AU26,IF('NET buy'!AU26=3000,Config!$I$3,'NET buy'!AU26))</f>
        <v>0</v>
      </c>
      <c r="AX26" s="7">
        <f>'NET buy'!AV26</f>
        <v>0</v>
      </c>
      <c r="AY26" s="8">
        <f>IF(Config!$I$14=0,'NET buy'!AW26,IF('NET buy'!AW26=3000,Config!$I$3,'NET buy'!AW26))</f>
        <v>0</v>
      </c>
    </row>
    <row r="27" spans="1:51">
      <c r="A27" s="6">
        <v>23</v>
      </c>
      <c r="B27" s="31">
        <f>'Check_netting_ETS_G&amp;P'!G27</f>
        <v>0</v>
      </c>
      <c r="C27" s="7">
        <f>IF(B27=0,0,Config!$I$3)</f>
        <v>0</v>
      </c>
      <c r="D27" s="7">
        <f>'NET buy'!B27</f>
        <v>28.9</v>
      </c>
      <c r="E27" s="7">
        <f>IF(Config!$I$14=0,'NET buy'!C27,IF('NET buy'!C27=3000,Config!$I$3,'NET buy'!C27))</f>
        <v>3000</v>
      </c>
      <c r="F27" s="7">
        <f>'NET buy'!D27</f>
        <v>0</v>
      </c>
      <c r="G27" s="7">
        <f>IF(Config!$I$14=0,'NET buy'!E27,IF('NET buy'!E27=3000,Config!$I$3,'NET buy'!E27))</f>
        <v>0</v>
      </c>
      <c r="H27" s="7">
        <f>'NET buy'!F27</f>
        <v>0</v>
      </c>
      <c r="I27" s="7">
        <f>IF(Config!$I$14=0,'NET buy'!G27,IF('NET buy'!G27=3000,Config!$I$3,'NET buy'!G27))</f>
        <v>0</v>
      </c>
      <c r="J27" s="7">
        <f>'NET buy'!H27</f>
        <v>0</v>
      </c>
      <c r="K27" s="7">
        <f>IF(Config!$I$14=0,'NET buy'!I27,IF('NET buy'!I27=3000,Config!$I$3,'NET buy'!I27))</f>
        <v>0</v>
      </c>
      <c r="L27" s="7">
        <f>'NET buy'!J27</f>
        <v>0</v>
      </c>
      <c r="M27" s="7">
        <f>IF(Config!$I$14=0,'NET buy'!K27,IF('NET buy'!K27=3000,Config!$I$3,'NET buy'!K27))</f>
        <v>0</v>
      </c>
      <c r="N27" s="7">
        <f>'NET buy'!L27</f>
        <v>0</v>
      </c>
      <c r="O27" s="7">
        <f>IF(Config!$I$14=0,'NET buy'!M27,IF('NET buy'!M27=3000,Config!$I$3,'NET buy'!M27))</f>
        <v>0</v>
      </c>
      <c r="P27" s="7">
        <f>'NET buy'!N27</f>
        <v>0</v>
      </c>
      <c r="Q27" s="7">
        <f>IF(Config!$I$14=0,'NET buy'!O27,IF('NET buy'!O27=3000,Config!$I$3,'NET buy'!O27))</f>
        <v>0</v>
      </c>
      <c r="R27" s="7">
        <f>'NET buy'!P27</f>
        <v>0</v>
      </c>
      <c r="S27" s="7">
        <f>IF(Config!$I$14=0,'NET buy'!Q27,IF('NET buy'!Q27=3000,Config!$I$3,'NET buy'!Q27))</f>
        <v>0</v>
      </c>
      <c r="T27" s="7">
        <f>'NET buy'!R27</f>
        <v>0</v>
      </c>
      <c r="U27" s="7">
        <f>IF(Config!$I$14=0,'NET buy'!S27,IF('NET buy'!S27=3000,Config!$I$3,'NET buy'!S27))</f>
        <v>0</v>
      </c>
      <c r="V27" s="7">
        <f>'NET buy'!T27</f>
        <v>0</v>
      </c>
      <c r="W27" s="7">
        <f>IF(Config!$I$14=0,'NET buy'!U27,IF('NET buy'!U27=3000,Config!$I$3,'NET buy'!U27))</f>
        <v>0</v>
      </c>
      <c r="X27" s="7">
        <f>'NET buy'!V27</f>
        <v>0</v>
      </c>
      <c r="Y27" s="7">
        <f>IF(Config!$I$14=0,'NET buy'!W27,IF('NET buy'!W27=3000,Config!$I$3,'NET buy'!W27))</f>
        <v>0</v>
      </c>
      <c r="Z27" s="7">
        <f>'NET buy'!X27</f>
        <v>0</v>
      </c>
      <c r="AA27" s="7">
        <f>IF(Config!$I$14=0,'NET buy'!Y27,IF('NET buy'!Y27=3000,Config!$I$3,'NET buy'!Y27))</f>
        <v>0</v>
      </c>
      <c r="AB27" s="7">
        <f>'NET buy'!Z27</f>
        <v>0</v>
      </c>
      <c r="AC27" s="7">
        <f>IF(Config!$I$14=0,'NET buy'!AA27,IF('NET buy'!AA27=3000,Config!$I$3,'NET buy'!AA27))</f>
        <v>0</v>
      </c>
      <c r="AD27" s="7">
        <f>'NET buy'!AB27</f>
        <v>0</v>
      </c>
      <c r="AE27" s="7">
        <f>IF(Config!$I$14=0,'NET buy'!AC27,IF('NET buy'!AC27=3000,Config!$I$3,'NET buy'!AC27))</f>
        <v>0</v>
      </c>
      <c r="AF27" s="7">
        <f>'NET buy'!AD27</f>
        <v>0</v>
      </c>
      <c r="AG27" s="7">
        <f>IF(Config!$I$14=0,'NET buy'!AE27,IF('NET buy'!AE27=3000,Config!$I$3,'NET buy'!AE27))</f>
        <v>0</v>
      </c>
      <c r="AH27" s="7">
        <f>'NET buy'!AF27</f>
        <v>0</v>
      </c>
      <c r="AI27" s="7">
        <f>IF(Config!$I$14=0,'NET buy'!AG27,IF('NET buy'!AG27=3000,Config!$I$3,'NET buy'!AG27))</f>
        <v>0</v>
      </c>
      <c r="AJ27" s="7">
        <f>'NET buy'!AH27</f>
        <v>0</v>
      </c>
      <c r="AK27" s="7">
        <f>IF(Config!$I$14=0,'NET buy'!AI27,IF('NET buy'!AI27=3000,Config!$I$3,'NET buy'!AI27))</f>
        <v>0</v>
      </c>
      <c r="AL27" s="7">
        <f>'NET buy'!AJ27</f>
        <v>0</v>
      </c>
      <c r="AM27" s="7">
        <f>IF(Config!$I$14=0,'NET buy'!AK27,IF('NET buy'!AK27=3000,Config!$I$3,'NET buy'!AK27))</f>
        <v>0</v>
      </c>
      <c r="AN27" s="7">
        <f>'NET buy'!AL27</f>
        <v>0</v>
      </c>
      <c r="AO27" s="7">
        <f>IF(Config!$I$14=0,'NET buy'!AM27,IF('NET buy'!AM27=3000,Config!$I$3,'NET buy'!AM27))</f>
        <v>0</v>
      </c>
      <c r="AP27" s="7">
        <f>'NET buy'!AN27</f>
        <v>0</v>
      </c>
      <c r="AQ27" s="7">
        <f>IF(Config!$I$14=0,'NET buy'!AO27,IF('NET buy'!AO27=3000,Config!$I$3,'NET buy'!AO27))</f>
        <v>0</v>
      </c>
      <c r="AR27" s="7">
        <f>'NET buy'!AP27</f>
        <v>0</v>
      </c>
      <c r="AS27" s="7">
        <f>IF(Config!$I$14=0,'NET buy'!AQ27,IF('NET buy'!AQ27=3000,Config!$I$3,'NET buy'!AQ27))</f>
        <v>0</v>
      </c>
      <c r="AT27" s="7">
        <f>'NET buy'!AR27</f>
        <v>0</v>
      </c>
      <c r="AU27" s="7">
        <f>IF(Config!$I$14=0,'NET buy'!AS27,IF('NET buy'!AS27=3000,Config!$I$3,'NET buy'!AS27))</f>
        <v>0</v>
      </c>
      <c r="AV27" s="7">
        <f>'NET buy'!AT27</f>
        <v>0</v>
      </c>
      <c r="AW27" s="7">
        <f>IF(Config!$I$14=0,'NET buy'!AU27,IF('NET buy'!AU27=3000,Config!$I$3,'NET buy'!AU27))</f>
        <v>0</v>
      </c>
      <c r="AX27" s="7">
        <f>'NET buy'!AV27</f>
        <v>0</v>
      </c>
      <c r="AY27" s="8">
        <f>IF(Config!$I$14=0,'NET buy'!AW27,IF('NET buy'!AW27=3000,Config!$I$3,'NET buy'!AW27))</f>
        <v>0</v>
      </c>
    </row>
    <row r="28" spans="1:51">
      <c r="A28" s="6">
        <v>24</v>
      </c>
      <c r="B28" s="31">
        <f>'Check_netting_ETS_G&amp;P'!G28</f>
        <v>0</v>
      </c>
      <c r="C28" s="7">
        <f>IF(B28=0,0,Config!$I$3)</f>
        <v>0</v>
      </c>
      <c r="D28" s="7">
        <f>'NET buy'!B28</f>
        <v>16.2</v>
      </c>
      <c r="E28" s="7">
        <f>IF(Config!$I$14=0,'NET buy'!C28,IF('NET buy'!C28=3000,Config!$I$3,'NET buy'!C28))</f>
        <v>3000</v>
      </c>
      <c r="F28" s="7">
        <f>'NET buy'!D28</f>
        <v>0</v>
      </c>
      <c r="G28" s="7">
        <f>IF(Config!$I$14=0,'NET buy'!E28,IF('NET buy'!E28=3000,Config!$I$3,'NET buy'!E28))</f>
        <v>0</v>
      </c>
      <c r="H28" s="7">
        <f>'NET buy'!F28</f>
        <v>0</v>
      </c>
      <c r="I28" s="7">
        <f>IF(Config!$I$14=0,'NET buy'!G28,IF('NET buy'!G28=3000,Config!$I$3,'NET buy'!G28))</f>
        <v>0</v>
      </c>
      <c r="J28" s="7">
        <f>'NET buy'!H28</f>
        <v>0</v>
      </c>
      <c r="K28" s="7">
        <f>IF(Config!$I$14=0,'NET buy'!I28,IF('NET buy'!I28=3000,Config!$I$3,'NET buy'!I28))</f>
        <v>0</v>
      </c>
      <c r="L28" s="7">
        <f>'NET buy'!J28</f>
        <v>0</v>
      </c>
      <c r="M28" s="7">
        <f>IF(Config!$I$14=0,'NET buy'!K28,IF('NET buy'!K28=3000,Config!$I$3,'NET buy'!K28))</f>
        <v>0</v>
      </c>
      <c r="N28" s="7">
        <f>'NET buy'!L28</f>
        <v>0</v>
      </c>
      <c r="O28" s="7">
        <f>IF(Config!$I$14=0,'NET buy'!M28,IF('NET buy'!M28=3000,Config!$I$3,'NET buy'!M28))</f>
        <v>0</v>
      </c>
      <c r="P28" s="7">
        <f>'NET buy'!N28</f>
        <v>0</v>
      </c>
      <c r="Q28" s="7">
        <f>IF(Config!$I$14=0,'NET buy'!O28,IF('NET buy'!O28=3000,Config!$I$3,'NET buy'!O28))</f>
        <v>0</v>
      </c>
      <c r="R28" s="7">
        <f>'NET buy'!P28</f>
        <v>0</v>
      </c>
      <c r="S28" s="7">
        <f>IF(Config!$I$14=0,'NET buy'!Q28,IF('NET buy'!Q28=3000,Config!$I$3,'NET buy'!Q28))</f>
        <v>0</v>
      </c>
      <c r="T28" s="7">
        <f>'NET buy'!R28</f>
        <v>0</v>
      </c>
      <c r="U28" s="7">
        <f>IF(Config!$I$14=0,'NET buy'!S28,IF('NET buy'!S28=3000,Config!$I$3,'NET buy'!S28))</f>
        <v>0</v>
      </c>
      <c r="V28" s="7">
        <f>'NET buy'!T28</f>
        <v>0</v>
      </c>
      <c r="W28" s="7">
        <f>IF(Config!$I$14=0,'NET buy'!U28,IF('NET buy'!U28=3000,Config!$I$3,'NET buy'!U28))</f>
        <v>0</v>
      </c>
      <c r="X28" s="7">
        <f>'NET buy'!V28</f>
        <v>0</v>
      </c>
      <c r="Y28" s="7">
        <f>IF(Config!$I$14=0,'NET buy'!W28,IF('NET buy'!W28=3000,Config!$I$3,'NET buy'!W28))</f>
        <v>0</v>
      </c>
      <c r="Z28" s="7">
        <f>'NET buy'!X28</f>
        <v>0</v>
      </c>
      <c r="AA28" s="7">
        <f>IF(Config!$I$14=0,'NET buy'!Y28,IF('NET buy'!Y28=3000,Config!$I$3,'NET buy'!Y28))</f>
        <v>0</v>
      </c>
      <c r="AB28" s="7">
        <f>'NET buy'!Z28</f>
        <v>0</v>
      </c>
      <c r="AC28" s="7">
        <f>IF(Config!$I$14=0,'NET buy'!AA28,IF('NET buy'!AA28=3000,Config!$I$3,'NET buy'!AA28))</f>
        <v>0</v>
      </c>
      <c r="AD28" s="7">
        <f>'NET buy'!AB28</f>
        <v>0</v>
      </c>
      <c r="AE28" s="7">
        <f>IF(Config!$I$14=0,'NET buy'!AC28,IF('NET buy'!AC28=3000,Config!$I$3,'NET buy'!AC28))</f>
        <v>0</v>
      </c>
      <c r="AF28" s="7">
        <f>'NET buy'!AD28</f>
        <v>0</v>
      </c>
      <c r="AG28" s="7">
        <f>IF(Config!$I$14=0,'NET buy'!AE28,IF('NET buy'!AE28=3000,Config!$I$3,'NET buy'!AE28))</f>
        <v>0</v>
      </c>
      <c r="AH28" s="7">
        <f>'NET buy'!AF28</f>
        <v>0</v>
      </c>
      <c r="AI28" s="7">
        <f>IF(Config!$I$14=0,'NET buy'!AG28,IF('NET buy'!AG28=3000,Config!$I$3,'NET buy'!AG28))</f>
        <v>0</v>
      </c>
      <c r="AJ28" s="7">
        <f>'NET buy'!AH28</f>
        <v>0</v>
      </c>
      <c r="AK28" s="7">
        <f>IF(Config!$I$14=0,'NET buy'!AI28,IF('NET buy'!AI28=3000,Config!$I$3,'NET buy'!AI28))</f>
        <v>0</v>
      </c>
      <c r="AL28" s="7">
        <f>'NET buy'!AJ28</f>
        <v>0</v>
      </c>
      <c r="AM28" s="7">
        <f>IF(Config!$I$14=0,'NET buy'!AK28,IF('NET buy'!AK28=3000,Config!$I$3,'NET buy'!AK28))</f>
        <v>0</v>
      </c>
      <c r="AN28" s="7">
        <f>'NET buy'!AL28</f>
        <v>0</v>
      </c>
      <c r="AO28" s="7">
        <f>IF(Config!$I$14=0,'NET buy'!AM28,IF('NET buy'!AM28=3000,Config!$I$3,'NET buy'!AM28))</f>
        <v>0</v>
      </c>
      <c r="AP28" s="7">
        <f>'NET buy'!AN28</f>
        <v>0</v>
      </c>
      <c r="AQ28" s="7">
        <f>IF(Config!$I$14=0,'NET buy'!AO28,IF('NET buy'!AO28=3000,Config!$I$3,'NET buy'!AO28))</f>
        <v>0</v>
      </c>
      <c r="AR28" s="7">
        <f>'NET buy'!AP28</f>
        <v>0</v>
      </c>
      <c r="AS28" s="7">
        <f>IF(Config!$I$14=0,'NET buy'!AQ28,IF('NET buy'!AQ28=3000,Config!$I$3,'NET buy'!AQ28))</f>
        <v>0</v>
      </c>
      <c r="AT28" s="7">
        <f>'NET buy'!AR28</f>
        <v>0</v>
      </c>
      <c r="AU28" s="7">
        <f>IF(Config!$I$14=0,'NET buy'!AS28,IF('NET buy'!AS28=3000,Config!$I$3,'NET buy'!AS28))</f>
        <v>0</v>
      </c>
      <c r="AV28" s="7">
        <f>'NET buy'!AT28</f>
        <v>0</v>
      </c>
      <c r="AW28" s="7">
        <f>IF(Config!$I$14=0,'NET buy'!AU28,IF('NET buy'!AU28=3000,Config!$I$3,'NET buy'!AU28))</f>
        <v>0</v>
      </c>
      <c r="AX28" s="7">
        <f>'NET buy'!AV28</f>
        <v>0</v>
      </c>
      <c r="AY28" s="8">
        <f>IF(Config!$I$14=0,'NET buy'!AW28,IF('NET buy'!AW28=3000,Config!$I$3,'NET buy'!AW28))</f>
        <v>0</v>
      </c>
    </row>
    <row r="29" spans="1:51" ht="15.75" thickBot="1">
      <c r="A29" s="28">
        <v>25</v>
      </c>
      <c r="B29" s="29">
        <f>'Check_netting_ETS_G&amp;P'!G29</f>
        <v>0</v>
      </c>
      <c r="C29" s="29">
        <f>IF(B29=0,0,Config!$I$3)</f>
        <v>0</v>
      </c>
      <c r="D29" s="29">
        <f>'NET buy'!B29</f>
        <v>0</v>
      </c>
      <c r="E29" s="29">
        <f>'NET buy'!C29</f>
        <v>0</v>
      </c>
      <c r="F29" s="29">
        <f>'NET buy'!D29</f>
        <v>0</v>
      </c>
      <c r="G29" s="29">
        <f>'NET buy'!E29</f>
        <v>0</v>
      </c>
      <c r="H29" s="29">
        <f>'NET buy'!F29</f>
        <v>0</v>
      </c>
      <c r="I29" s="29">
        <f>'NET buy'!G29</f>
        <v>0</v>
      </c>
      <c r="J29" s="29">
        <f>'NET buy'!H29</f>
        <v>0</v>
      </c>
      <c r="K29" s="29">
        <f>'NET buy'!I29</f>
        <v>0</v>
      </c>
      <c r="L29" s="29">
        <f>'NET buy'!J29</f>
        <v>0</v>
      </c>
      <c r="M29" s="29">
        <f>'NET buy'!K29</f>
        <v>0</v>
      </c>
      <c r="N29" s="29">
        <f>'NET buy'!L29</f>
        <v>0</v>
      </c>
      <c r="O29" s="29">
        <f>'NET buy'!M29</f>
        <v>0</v>
      </c>
      <c r="P29" s="29">
        <f>'NET buy'!N29</f>
        <v>0</v>
      </c>
      <c r="Q29" s="29">
        <f>'NET buy'!O29</f>
        <v>0</v>
      </c>
      <c r="R29" s="29">
        <f>'NET buy'!P29</f>
        <v>0</v>
      </c>
      <c r="S29" s="29">
        <f>'NET buy'!Q29</f>
        <v>0</v>
      </c>
      <c r="T29" s="29">
        <f>'NET buy'!R29</f>
        <v>0</v>
      </c>
      <c r="U29" s="29">
        <f>'NET buy'!S29</f>
        <v>0</v>
      </c>
      <c r="V29" s="29">
        <f>'NET buy'!T29</f>
        <v>0</v>
      </c>
      <c r="W29" s="29">
        <f>'NET buy'!U29</f>
        <v>0</v>
      </c>
      <c r="X29" s="29">
        <f>'NET buy'!V29</f>
        <v>0</v>
      </c>
      <c r="Y29" s="29">
        <f>'NET buy'!W29</f>
        <v>0</v>
      </c>
      <c r="Z29" s="29">
        <f>'NET buy'!X29</f>
        <v>0</v>
      </c>
      <c r="AA29" s="29">
        <f>'NET buy'!Y29</f>
        <v>0</v>
      </c>
      <c r="AB29" s="29">
        <f>'NET buy'!Z29</f>
        <v>0</v>
      </c>
      <c r="AC29" s="29">
        <f>'NET buy'!AA29</f>
        <v>0</v>
      </c>
      <c r="AD29" s="29">
        <f>'NET buy'!AB29</f>
        <v>0</v>
      </c>
      <c r="AE29" s="29">
        <f>'NET buy'!AC29</f>
        <v>0</v>
      </c>
      <c r="AF29" s="29">
        <f>'NET buy'!AD29</f>
        <v>0</v>
      </c>
      <c r="AG29" s="29">
        <f>'NET buy'!AE29</f>
        <v>0</v>
      </c>
      <c r="AH29" s="29">
        <f>'NET buy'!AF29</f>
        <v>0</v>
      </c>
      <c r="AI29" s="29">
        <f>'NET buy'!AG29</f>
        <v>0</v>
      </c>
      <c r="AJ29" s="29">
        <f>'NET buy'!AH29</f>
        <v>0</v>
      </c>
      <c r="AK29" s="29">
        <f>'NET buy'!AI29</f>
        <v>0</v>
      </c>
      <c r="AL29" s="29">
        <f>'NET buy'!AJ29</f>
        <v>0</v>
      </c>
      <c r="AM29" s="29">
        <f>'NET buy'!AK29</f>
        <v>0</v>
      </c>
      <c r="AN29" s="29">
        <f>'NET buy'!AL29</f>
        <v>0</v>
      </c>
      <c r="AO29" s="29">
        <f>'NET buy'!AM29</f>
        <v>0</v>
      </c>
      <c r="AP29" s="29">
        <f>'NET buy'!AN29</f>
        <v>0</v>
      </c>
      <c r="AQ29" s="29">
        <f>'NET buy'!AO29</f>
        <v>0</v>
      </c>
      <c r="AR29" s="29">
        <f>'NET buy'!AP29</f>
        <v>0</v>
      </c>
      <c r="AS29" s="29">
        <f>'NET buy'!AQ29</f>
        <v>0</v>
      </c>
      <c r="AT29" s="29">
        <f>'NET buy'!AR29</f>
        <v>0</v>
      </c>
      <c r="AU29" s="29">
        <f>'NET buy'!AS29</f>
        <v>0</v>
      </c>
      <c r="AV29" s="29">
        <f>'NET buy'!AT29</f>
        <v>0</v>
      </c>
      <c r="AW29" s="29">
        <f>'NET buy'!AU29</f>
        <v>0</v>
      </c>
      <c r="AX29" s="29">
        <f>'NET buy'!AV29</f>
        <v>0</v>
      </c>
      <c r="AY29" s="30">
        <f>'NET buy'!AW29</f>
        <v>0</v>
      </c>
    </row>
    <row r="30" spans="1:51" ht="15.75" thickBot="1"/>
    <row r="31" spans="1:51" ht="15.75" thickBot="1">
      <c r="B31" s="10">
        <f>SUM(B5:B29)</f>
        <v>31.1</v>
      </c>
      <c r="C31" s="11"/>
      <c r="D31" s="11">
        <f>SUM(D5:D29)</f>
        <v>634.1</v>
      </c>
      <c r="E31" s="11"/>
      <c r="F31" s="11">
        <f>SUM(F5:F29)</f>
        <v>0</v>
      </c>
      <c r="G31" s="11"/>
      <c r="H31" s="11">
        <f>SUM(H5:H29)</f>
        <v>0</v>
      </c>
      <c r="I31" s="11"/>
      <c r="J31" s="11">
        <f>SUM(J5:J29)</f>
        <v>0</v>
      </c>
      <c r="K31" s="11"/>
      <c r="L31" s="11">
        <f>SUM(L5:L29)</f>
        <v>0</v>
      </c>
      <c r="M31" s="11"/>
      <c r="N31" s="11">
        <f>SUM(N5:N29)</f>
        <v>0</v>
      </c>
      <c r="O31" s="11"/>
      <c r="P31" s="11">
        <f>SUM(P5:P29)</f>
        <v>0</v>
      </c>
      <c r="Q31" s="11"/>
      <c r="R31" s="11">
        <f>SUM(R5:R29)</f>
        <v>0</v>
      </c>
      <c r="S31" s="11"/>
      <c r="T31" s="11">
        <f>SUM(T5:T29)</f>
        <v>0</v>
      </c>
      <c r="U31" s="11"/>
      <c r="V31" s="11">
        <f>SUM(V5:V29)</f>
        <v>0</v>
      </c>
      <c r="W31" s="11"/>
      <c r="X31" s="11">
        <f>SUM(X5:X29)</f>
        <v>0</v>
      </c>
      <c r="Y31" s="11"/>
      <c r="Z31" s="11">
        <f>SUM(Z5:Z29)</f>
        <v>0</v>
      </c>
      <c r="AA31" s="11"/>
      <c r="AB31" s="11">
        <f>SUM(AB5:AB29)</f>
        <v>0</v>
      </c>
      <c r="AC31" s="11"/>
      <c r="AD31" s="11">
        <f>SUM(AD5:AD29)</f>
        <v>0</v>
      </c>
      <c r="AE31" s="11"/>
      <c r="AF31" s="11">
        <f>SUM(AF5:AF29)</f>
        <v>0</v>
      </c>
      <c r="AG31" s="11"/>
      <c r="AH31" s="11">
        <f>SUM(AH5:AH29)</f>
        <v>0</v>
      </c>
      <c r="AI31" s="11"/>
      <c r="AJ31" s="11">
        <f>SUM(AJ5:AJ29)</f>
        <v>0</v>
      </c>
      <c r="AK31" s="11"/>
      <c r="AL31" s="11">
        <f>SUM(AL5:AL29)</f>
        <v>0</v>
      </c>
      <c r="AM31" s="11"/>
      <c r="AN31" s="11">
        <f>SUM(AN5:AN29)</f>
        <v>0</v>
      </c>
      <c r="AO31" s="11"/>
      <c r="AP31" s="11">
        <f>SUM(AP5:AP29)</f>
        <v>0</v>
      </c>
      <c r="AQ31" s="11"/>
      <c r="AR31" s="11">
        <f>SUM(AR5:AR29)</f>
        <v>0</v>
      </c>
      <c r="AS31" s="11"/>
      <c r="AT31" s="11">
        <f>SUM(AT5:AT29)</f>
        <v>0</v>
      </c>
      <c r="AU31" s="11"/>
      <c r="AV31" s="11">
        <f>SUM(AV5:AV29)</f>
        <v>0</v>
      </c>
      <c r="AW31" s="11"/>
      <c r="AX31" s="11">
        <f>SUM(AX5:AX29)</f>
        <v>0</v>
      </c>
      <c r="AY31" s="12"/>
    </row>
    <row r="32" spans="1:51" ht="15.75" thickBot="1"/>
    <row r="33" spans="1:50" ht="15.75" thickBot="1">
      <c r="A33" s="10" t="s">
        <v>9</v>
      </c>
      <c r="B33" s="13">
        <f>SUM(B31:AY31)</f>
        <v>665.2</v>
      </c>
      <c r="C33" s="36" t="str">
        <f>IF(B46=0,IF(B35+B37+B39=B33,"OK","Error"),IF(B35+B45=B33,"OK","Error"))</f>
        <v>OK</v>
      </c>
    </row>
    <row r="34" spans="1:50" ht="15.75" thickBot="1"/>
    <row r="35" spans="1:50" ht="15.75" thickBot="1">
      <c r="A35" s="10" t="s">
        <v>11</v>
      </c>
      <c r="B35" s="13">
        <f>SUM('NET buy'!B31:AY31)</f>
        <v>634.1</v>
      </c>
    </row>
    <row r="36" spans="1:50" ht="15.75" thickBot="1"/>
    <row r="37" spans="1:50" ht="15.75" thickBot="1">
      <c r="A37" s="10" t="s">
        <v>12</v>
      </c>
      <c r="B37" s="13">
        <f>SUM('ETS Buy'!B31:AY31)</f>
        <v>0</v>
      </c>
    </row>
    <row r="38" spans="1:50" ht="15.75" thickBot="1"/>
    <row r="39" spans="1:50" ht="15.75" thickBot="1">
      <c r="A39" s="10" t="s">
        <v>13</v>
      </c>
      <c r="B39" s="13">
        <f>SUM('G&amp;P buy'!B31:AY31)</f>
        <v>35.1</v>
      </c>
    </row>
    <row r="40" spans="1:50" ht="15.75" thickBot="1"/>
    <row r="41" spans="1:50" ht="15.75" thickBot="1">
      <c r="A41" s="10" t="s">
        <v>31</v>
      </c>
      <c r="B41" s="117">
        <f>SUM(B5:B28)</f>
        <v>31.1</v>
      </c>
    </row>
    <row r="42" spans="1:50" ht="15.75" thickBot="1"/>
    <row r="43" spans="1:50" ht="15.75" thickBot="1">
      <c r="A43" s="10" t="s">
        <v>32</v>
      </c>
      <c r="B43" s="86">
        <v>-31.038510999999971</v>
      </c>
      <c r="D43" s="10" t="s">
        <v>33</v>
      </c>
      <c r="E43" s="57">
        <f>ROUND(B43+B41,0)</f>
        <v>0</v>
      </c>
    </row>
    <row r="44" spans="1:50" ht="15.75" thickBot="1"/>
    <row r="45" spans="1:50" ht="15.75" thickBot="1">
      <c r="A45" s="77" t="s">
        <v>42</v>
      </c>
      <c r="B45" s="85">
        <f>'Check_netting_ETS_G&amp;P'!G31</f>
        <v>31.1</v>
      </c>
    </row>
    <row r="46" spans="1:50" ht="15.75" thickBot="1">
      <c r="A46" s="77" t="s">
        <v>43</v>
      </c>
      <c r="B46" s="78">
        <f>(B37+B39)-B41</f>
        <v>4</v>
      </c>
    </row>
    <row r="47" spans="1:50" ht="15.75" thickBot="1"/>
    <row r="48" spans="1:50" s="71" customFormat="1" ht="15.75" thickBot="1">
      <c r="A48" s="74" t="s">
        <v>40</v>
      </c>
      <c r="B48" s="71">
        <f t="shared" ref="B48:D48" si="0">SUMPRODUCT(B5:B29,C5:C29)</f>
        <v>93300</v>
      </c>
      <c r="D48" s="71">
        <f t="shared" si="0"/>
        <v>1902300</v>
      </c>
      <c r="F48" s="71">
        <f>SUMPRODUCT(F5:F29,G5:G29)</f>
        <v>0</v>
      </c>
      <c r="H48" s="71">
        <f>SUMPRODUCT(H5:H29,I5:I29)</f>
        <v>0</v>
      </c>
      <c r="J48" s="71">
        <f>SUMPRODUCT(J5:J29,K5:K29)</f>
        <v>0</v>
      </c>
      <c r="L48" s="71">
        <f>SUMPRODUCT(L5:L29,M5:M29)</f>
        <v>0</v>
      </c>
      <c r="N48" s="71">
        <f>SUMPRODUCT(N5:N29,O5:O29)</f>
        <v>0</v>
      </c>
      <c r="P48" s="71">
        <f>SUMPRODUCT(P5:P29,Q5:Q29)</f>
        <v>0</v>
      </c>
      <c r="R48" s="71">
        <f>SUMPRODUCT(R5:R29,S5:S29)</f>
        <v>0</v>
      </c>
      <c r="T48" s="71">
        <f>SUMPRODUCT(T5:T29,U5:U29)</f>
        <v>0</v>
      </c>
      <c r="V48" s="71">
        <f>SUMPRODUCT(V5:V29,W5:W29)</f>
        <v>0</v>
      </c>
      <c r="X48" s="71">
        <f>SUMPRODUCT(X5:X29,Y5:Y29)</f>
        <v>0</v>
      </c>
      <c r="Z48" s="71">
        <f>SUMPRODUCT(Z5:Z29,AA5:AA29)</f>
        <v>0</v>
      </c>
      <c r="AB48" s="71">
        <f>SUMPRODUCT(AB5:AB29,AC5:AC29)</f>
        <v>0</v>
      </c>
      <c r="AD48" s="71">
        <f>SUMPRODUCT(AD5:AD29,AE5:AE29)</f>
        <v>0</v>
      </c>
      <c r="AF48" s="71">
        <f>SUMPRODUCT(AF5:AF29,AG5:AG29)</f>
        <v>0</v>
      </c>
      <c r="AH48" s="71">
        <f>SUMPRODUCT(AH5:AH29,AI5:AI29)</f>
        <v>0</v>
      </c>
      <c r="AJ48" s="71">
        <f>SUMPRODUCT(AJ5:AJ29,AK5:AK29)</f>
        <v>0</v>
      </c>
      <c r="AL48" s="71">
        <f>SUMPRODUCT(AL5:AL29,AM5:AM29)</f>
        <v>0</v>
      </c>
      <c r="AN48" s="71">
        <f>SUMPRODUCT(AN5:AN29,AO5:AO29)</f>
        <v>0</v>
      </c>
      <c r="AP48" s="71">
        <f>SUMPRODUCT(AP5:AP29,AQ5:AQ29)</f>
        <v>0</v>
      </c>
      <c r="AR48" s="71">
        <f>SUMPRODUCT(AR5:AR29,AS5:AS29)</f>
        <v>0</v>
      </c>
      <c r="AT48" s="71">
        <f>SUMPRODUCT(AT5:AT29,AU5:AU29)</f>
        <v>0</v>
      </c>
      <c r="AV48" s="71">
        <f>SUMPRODUCT(AV5:AV29,AW5:AW29)</f>
        <v>0</v>
      </c>
      <c r="AX48" s="71">
        <f>SUMPRODUCT(AX5:AX29,AY5:AY29)</f>
        <v>0</v>
      </c>
    </row>
  </sheetData>
  <conditionalFormatting sqref="C33">
    <cfRule type="cellIs" dxfId="10" priority="5" operator="equal">
      <formula>"OK"</formula>
    </cfRule>
  </conditionalFormatting>
  <conditionalFormatting sqref="F2">
    <cfRule type="cellIs" dxfId="9" priority="3" operator="equal">
      <formula>"ERRORE"</formula>
    </cfRule>
    <cfRule type="cellIs" dxfId="8" priority="4" operator="equal">
      <formula>"OK"</formula>
    </cfRule>
  </conditionalFormatting>
  <conditionalFormatting sqref="G2">
    <cfRule type="expression" dxfId="7" priority="1">
      <formula>OR($G$2="KO",$G$2="VERBALE KO")</formula>
    </cfRule>
    <cfRule type="cellIs" dxfId="6" priority="2" operator="equal">
      <formula>"OK"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FF9999"/>
  </sheetPr>
  <dimension ref="A1:AZ31"/>
  <sheetViews>
    <sheetView workbookViewId="0">
      <selection activeCell="A4" sqref="A4:AZ29"/>
    </sheetView>
  </sheetViews>
  <sheetFormatPr defaultRowHeight="15"/>
  <cols>
    <col min="1" max="1" width="27.28515625" style="21" bestFit="1" customWidth="1"/>
    <col min="2" max="2" width="14.7109375" style="21" bestFit="1" customWidth="1"/>
    <col min="3" max="3" width="19" style="21" bestFit="1" customWidth="1"/>
    <col min="4" max="4" width="14.7109375" style="21" bestFit="1" customWidth="1"/>
    <col min="5" max="5" width="19" style="21" bestFit="1" customWidth="1"/>
    <col min="6" max="6" width="14.7109375" style="21" bestFit="1" customWidth="1"/>
    <col min="7" max="7" width="19" style="21" bestFit="1" customWidth="1"/>
    <col min="8" max="8" width="14.7109375" style="21" bestFit="1" customWidth="1"/>
    <col min="9" max="9" width="19" style="21" bestFit="1" customWidth="1"/>
    <col min="10" max="10" width="14.7109375" style="21" bestFit="1" customWidth="1"/>
    <col min="11" max="11" width="19" style="21" bestFit="1" customWidth="1"/>
    <col min="12" max="12" width="14.7109375" style="21" bestFit="1" customWidth="1"/>
    <col min="13" max="13" width="19" style="21" bestFit="1" customWidth="1"/>
    <col min="14" max="14" width="14.7109375" style="21" bestFit="1" customWidth="1"/>
    <col min="15" max="15" width="19" style="21" bestFit="1" customWidth="1"/>
    <col min="16" max="16" width="14.7109375" style="21" bestFit="1" customWidth="1"/>
    <col min="17" max="17" width="19" style="21" bestFit="1" customWidth="1"/>
    <col min="18" max="18" width="14.7109375" style="21" bestFit="1" customWidth="1"/>
    <col min="19" max="19" width="19" style="21" bestFit="1" customWidth="1"/>
    <col min="20" max="20" width="14.7109375" style="21" bestFit="1" customWidth="1"/>
    <col min="21" max="21" width="19" style="21" bestFit="1" customWidth="1"/>
    <col min="22" max="22" width="14.7109375" style="21" bestFit="1" customWidth="1"/>
    <col min="23" max="23" width="19" style="21" bestFit="1" customWidth="1"/>
    <col min="24" max="24" width="14.7109375" style="21" bestFit="1" customWidth="1"/>
    <col min="25" max="25" width="19" style="21" bestFit="1" customWidth="1"/>
    <col min="26" max="26" width="14.7109375" style="21" bestFit="1" customWidth="1"/>
    <col min="27" max="27" width="19" style="21" bestFit="1" customWidth="1"/>
    <col min="28" max="28" width="14.7109375" style="21" bestFit="1" customWidth="1"/>
    <col min="29" max="29" width="19" style="21" bestFit="1" customWidth="1"/>
    <col min="30" max="30" width="14.7109375" style="21" bestFit="1" customWidth="1"/>
    <col min="31" max="31" width="19" style="21" bestFit="1" customWidth="1"/>
    <col min="32" max="32" width="14.7109375" style="21" bestFit="1" customWidth="1"/>
    <col min="33" max="33" width="19" style="21" bestFit="1" customWidth="1"/>
    <col min="34" max="34" width="14.7109375" style="21" bestFit="1" customWidth="1"/>
    <col min="35" max="35" width="19" style="21" bestFit="1" customWidth="1"/>
    <col min="36" max="36" width="14.7109375" style="21" bestFit="1" customWidth="1"/>
    <col min="37" max="37" width="19" style="21" bestFit="1" customWidth="1"/>
    <col min="38" max="38" width="14.7109375" style="21" bestFit="1" customWidth="1"/>
    <col min="39" max="39" width="19" style="21" bestFit="1" customWidth="1"/>
    <col min="40" max="40" width="14.7109375" style="21" bestFit="1" customWidth="1"/>
    <col min="41" max="41" width="19" style="21" bestFit="1" customWidth="1"/>
    <col min="42" max="42" width="14.7109375" style="21" bestFit="1" customWidth="1"/>
    <col min="43" max="43" width="19" style="21" bestFit="1" customWidth="1"/>
    <col min="44" max="44" width="14.7109375" style="21" bestFit="1" customWidth="1"/>
    <col min="45" max="45" width="19" style="21" bestFit="1" customWidth="1"/>
    <col min="46" max="46" width="14.7109375" style="21" bestFit="1" customWidth="1"/>
    <col min="47" max="47" width="19" style="21" bestFit="1" customWidth="1"/>
    <col min="48" max="48" width="14.7109375" style="21" bestFit="1" customWidth="1"/>
    <col min="49" max="49" width="19" style="21" bestFit="1" customWidth="1"/>
    <col min="50" max="50" width="14.7109375" style="21" bestFit="1" customWidth="1"/>
    <col min="51" max="51" width="19" style="21" bestFit="1" customWidth="1"/>
    <col min="52" max="16384" width="9.140625" style="21"/>
  </cols>
  <sheetData>
    <row r="1" spans="1:52" ht="21">
      <c r="A1" s="21" t="s">
        <v>3</v>
      </c>
      <c r="D1" s="22" t="s">
        <v>8</v>
      </c>
    </row>
    <row r="4" spans="1:52">
      <c r="A4" s="90" t="s">
        <v>0</v>
      </c>
      <c r="B4" s="91" t="s">
        <v>1</v>
      </c>
      <c r="C4" s="91" t="s">
        <v>2</v>
      </c>
      <c r="D4" s="91" t="s">
        <v>1</v>
      </c>
      <c r="E4" s="91" t="s">
        <v>2</v>
      </c>
      <c r="F4" s="91" t="s">
        <v>1</v>
      </c>
      <c r="G4" s="91" t="s">
        <v>2</v>
      </c>
      <c r="H4" s="91" t="s">
        <v>1</v>
      </c>
      <c r="I4" s="91" t="s">
        <v>2</v>
      </c>
      <c r="J4" s="91" t="s">
        <v>1</v>
      </c>
      <c r="K4" s="91" t="s">
        <v>2</v>
      </c>
      <c r="L4" s="91" t="s">
        <v>1</v>
      </c>
      <c r="M4" s="91" t="s">
        <v>2</v>
      </c>
      <c r="N4" s="91" t="s">
        <v>1</v>
      </c>
      <c r="O4" s="91" t="s">
        <v>2</v>
      </c>
      <c r="P4" s="91" t="s">
        <v>1</v>
      </c>
      <c r="Q4" s="91" t="s">
        <v>2</v>
      </c>
      <c r="R4" s="91" t="s">
        <v>1</v>
      </c>
      <c r="S4" s="91" t="s">
        <v>2</v>
      </c>
      <c r="T4" s="91" t="s">
        <v>1</v>
      </c>
      <c r="U4" s="91" t="s">
        <v>2</v>
      </c>
      <c r="V4" s="91" t="s">
        <v>1</v>
      </c>
      <c r="W4" s="91" t="s">
        <v>2</v>
      </c>
      <c r="X4" s="91" t="s">
        <v>1</v>
      </c>
      <c r="Y4" s="91" t="s">
        <v>2</v>
      </c>
      <c r="Z4" s="91" t="s">
        <v>1</v>
      </c>
      <c r="AA4" s="91" t="s">
        <v>2</v>
      </c>
      <c r="AB4" s="91" t="s">
        <v>1</v>
      </c>
      <c r="AC4" s="91" t="s">
        <v>2</v>
      </c>
      <c r="AD4" s="91" t="s">
        <v>1</v>
      </c>
      <c r="AE4" s="91" t="s">
        <v>2</v>
      </c>
      <c r="AF4" s="91" t="s">
        <v>1</v>
      </c>
      <c r="AG4" s="91" t="s">
        <v>2</v>
      </c>
      <c r="AH4" s="91" t="s">
        <v>1</v>
      </c>
      <c r="AI4" s="91" t="s">
        <v>2</v>
      </c>
      <c r="AJ4" s="91" t="s">
        <v>1</v>
      </c>
      <c r="AK4" s="91" t="s">
        <v>2</v>
      </c>
      <c r="AL4" s="91" t="s">
        <v>1</v>
      </c>
      <c r="AM4" s="91" t="s">
        <v>2</v>
      </c>
      <c r="AN4" s="91" t="s">
        <v>1</v>
      </c>
      <c r="AO4" s="91" t="s">
        <v>2</v>
      </c>
      <c r="AP4" s="91" t="s">
        <v>1</v>
      </c>
      <c r="AQ4" s="91" t="s">
        <v>2</v>
      </c>
      <c r="AR4" s="91" t="s">
        <v>1</v>
      </c>
      <c r="AS4" s="91" t="s">
        <v>2</v>
      </c>
      <c r="AT4" s="91" t="s">
        <v>1</v>
      </c>
      <c r="AU4" s="91" t="s">
        <v>2</v>
      </c>
      <c r="AV4" s="91" t="s">
        <v>1</v>
      </c>
      <c r="AW4" s="91" t="s">
        <v>2</v>
      </c>
      <c r="AX4" s="91" t="s">
        <v>1</v>
      </c>
      <c r="AY4" s="91" t="s">
        <v>2</v>
      </c>
      <c r="AZ4" s="92"/>
    </row>
    <row r="5" spans="1:52">
      <c r="A5" s="90">
        <v>1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2"/>
    </row>
    <row r="6" spans="1:52">
      <c r="A6" s="90">
        <v>2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C6" s="91"/>
      <c r="AD6" s="91"/>
      <c r="AE6" s="91"/>
      <c r="AF6" s="91"/>
      <c r="AG6" s="91"/>
      <c r="AH6" s="91"/>
      <c r="AI6" s="91"/>
      <c r="AJ6" s="91"/>
      <c r="AK6" s="91"/>
      <c r="AL6" s="91"/>
      <c r="AM6" s="91"/>
      <c r="AN6" s="91"/>
      <c r="AO6" s="91"/>
      <c r="AP6" s="91"/>
      <c r="AQ6" s="91"/>
      <c r="AR6" s="91"/>
      <c r="AS6" s="91"/>
      <c r="AT6" s="91"/>
      <c r="AU6" s="91"/>
      <c r="AV6" s="91"/>
      <c r="AW6" s="91"/>
      <c r="AX6" s="91"/>
      <c r="AY6" s="91"/>
      <c r="AZ6" s="92"/>
    </row>
    <row r="7" spans="1:52">
      <c r="A7" s="88">
        <v>3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C7" s="91"/>
      <c r="AD7" s="91"/>
      <c r="AE7" s="91"/>
      <c r="AF7" s="91"/>
      <c r="AG7" s="91"/>
      <c r="AH7" s="91"/>
      <c r="AI7" s="91"/>
      <c r="AJ7" s="91"/>
      <c r="AK7" s="91"/>
      <c r="AL7" s="91"/>
      <c r="AM7" s="91"/>
      <c r="AN7" s="91"/>
      <c r="AO7" s="91"/>
      <c r="AP7" s="91"/>
      <c r="AQ7" s="91"/>
      <c r="AR7" s="91"/>
      <c r="AS7" s="91"/>
      <c r="AT7" s="91"/>
      <c r="AU7" s="91"/>
      <c r="AV7" s="91"/>
      <c r="AW7" s="91"/>
      <c r="AX7" s="91"/>
      <c r="AY7" s="91"/>
      <c r="AZ7" s="92"/>
    </row>
    <row r="8" spans="1:52">
      <c r="A8" s="88">
        <v>4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/>
      <c r="AV8" s="91"/>
      <c r="AW8" s="91"/>
      <c r="AX8" s="91"/>
      <c r="AY8" s="91"/>
      <c r="AZ8" s="92"/>
    </row>
    <row r="9" spans="1:52">
      <c r="A9" s="88">
        <v>5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/>
      <c r="AS9" s="91"/>
      <c r="AT9" s="91"/>
      <c r="AU9" s="91"/>
      <c r="AV9" s="91"/>
      <c r="AW9" s="91"/>
      <c r="AX9" s="91"/>
      <c r="AY9" s="91"/>
      <c r="AZ9" s="92"/>
    </row>
    <row r="10" spans="1:52">
      <c r="A10" s="88">
        <v>6</v>
      </c>
      <c r="B10" s="91"/>
      <c r="C10" s="91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  <c r="AG10" s="91"/>
      <c r="AH10" s="91"/>
      <c r="AI10" s="91"/>
      <c r="AJ10" s="91"/>
      <c r="AK10" s="91"/>
      <c r="AL10" s="91"/>
      <c r="AM10" s="91"/>
      <c r="AN10" s="91"/>
      <c r="AO10" s="91"/>
      <c r="AP10" s="91"/>
      <c r="AQ10" s="91"/>
      <c r="AR10" s="91"/>
      <c r="AS10" s="91"/>
      <c r="AT10" s="91"/>
      <c r="AU10" s="91"/>
      <c r="AV10" s="91"/>
      <c r="AW10" s="91"/>
      <c r="AX10" s="91"/>
      <c r="AY10" s="91"/>
      <c r="AZ10" s="92"/>
    </row>
    <row r="11" spans="1:52">
      <c r="A11" s="88">
        <v>7</v>
      </c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2"/>
    </row>
    <row r="12" spans="1:52">
      <c r="A12" s="88">
        <v>8</v>
      </c>
      <c r="B12" s="91"/>
      <c r="C12" s="91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2"/>
    </row>
    <row r="13" spans="1:52">
      <c r="A13" s="88">
        <v>9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2"/>
    </row>
    <row r="14" spans="1:52">
      <c r="A14" s="88">
        <v>10</v>
      </c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/>
      <c r="AV14" s="91"/>
      <c r="AW14" s="91"/>
      <c r="AX14" s="91"/>
      <c r="AY14" s="91"/>
      <c r="AZ14" s="92"/>
    </row>
    <row r="15" spans="1:52">
      <c r="A15" s="88">
        <v>11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  <c r="AG15" s="91"/>
      <c r="AH15" s="91"/>
      <c r="AI15" s="91"/>
      <c r="AJ15" s="91"/>
      <c r="AK15" s="91"/>
      <c r="AL15" s="91"/>
      <c r="AM15" s="91"/>
      <c r="AN15" s="91"/>
      <c r="AO15" s="91"/>
      <c r="AP15" s="91"/>
      <c r="AQ15" s="91"/>
      <c r="AR15" s="91"/>
      <c r="AS15" s="91"/>
      <c r="AT15" s="91"/>
      <c r="AU15" s="91"/>
      <c r="AV15" s="91"/>
      <c r="AW15" s="91"/>
      <c r="AX15" s="91"/>
      <c r="AY15" s="91"/>
      <c r="AZ15" s="92"/>
    </row>
    <row r="16" spans="1:52">
      <c r="A16" s="88">
        <v>12</v>
      </c>
      <c r="B16" s="91"/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  <c r="AG16" s="91"/>
      <c r="AH16" s="91"/>
      <c r="AI16" s="91"/>
      <c r="AJ16" s="91"/>
      <c r="AK16" s="91"/>
      <c r="AL16" s="91"/>
      <c r="AM16" s="91"/>
      <c r="AN16" s="91"/>
      <c r="AO16" s="91"/>
      <c r="AP16" s="91"/>
      <c r="AQ16" s="91"/>
      <c r="AR16" s="91"/>
      <c r="AS16" s="91"/>
      <c r="AT16" s="91"/>
      <c r="AU16" s="91"/>
      <c r="AV16" s="91"/>
      <c r="AW16" s="91"/>
      <c r="AX16" s="91"/>
      <c r="AY16" s="91"/>
      <c r="AZ16" s="92"/>
    </row>
    <row r="17" spans="1:52">
      <c r="A17" s="88">
        <v>13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/>
      <c r="AJ17" s="91"/>
      <c r="AK17" s="91"/>
      <c r="AL17" s="91"/>
      <c r="AM17" s="91"/>
      <c r="AN17" s="91"/>
      <c r="AO17" s="91"/>
      <c r="AP17" s="91"/>
      <c r="AQ17" s="91"/>
      <c r="AR17" s="91"/>
      <c r="AS17" s="91"/>
      <c r="AT17" s="91"/>
      <c r="AU17" s="91"/>
      <c r="AV17" s="91"/>
      <c r="AW17" s="91"/>
      <c r="AX17" s="91"/>
      <c r="AY17" s="91"/>
      <c r="AZ17" s="92"/>
    </row>
    <row r="18" spans="1:52">
      <c r="A18" s="88">
        <v>14</v>
      </c>
      <c r="B18" s="91"/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/>
      <c r="AH18" s="91"/>
      <c r="AI18" s="91"/>
      <c r="AJ18" s="91"/>
      <c r="AK18" s="91"/>
      <c r="AL18" s="91"/>
      <c r="AM18" s="91"/>
      <c r="AN18" s="91"/>
      <c r="AO18" s="91"/>
      <c r="AP18" s="91"/>
      <c r="AQ18" s="91"/>
      <c r="AR18" s="91"/>
      <c r="AS18" s="91"/>
      <c r="AT18" s="91"/>
      <c r="AU18" s="91"/>
      <c r="AV18" s="91"/>
      <c r="AW18" s="91"/>
      <c r="AX18" s="91"/>
      <c r="AY18" s="91"/>
      <c r="AZ18" s="92"/>
    </row>
    <row r="19" spans="1:52">
      <c r="A19" s="88">
        <v>15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91"/>
      <c r="AR19" s="91"/>
      <c r="AS19" s="91"/>
      <c r="AT19" s="91"/>
      <c r="AU19" s="91"/>
      <c r="AV19" s="91"/>
      <c r="AW19" s="91"/>
      <c r="AX19" s="91"/>
      <c r="AY19" s="91"/>
      <c r="AZ19" s="92"/>
    </row>
    <row r="20" spans="1:52">
      <c r="A20" s="88">
        <v>16</v>
      </c>
      <c r="B20" s="91"/>
      <c r="C20" s="91"/>
      <c r="D20" s="91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W20" s="92"/>
      <c r="AX20" s="92"/>
      <c r="AY20" s="92"/>
      <c r="AZ20" s="92"/>
    </row>
    <row r="21" spans="1:52">
      <c r="A21" s="88">
        <v>17</v>
      </c>
      <c r="B21" s="91"/>
      <c r="C21" s="91"/>
      <c r="D21" s="91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W21" s="92"/>
      <c r="AX21" s="92"/>
      <c r="AY21" s="92"/>
      <c r="AZ21" s="92"/>
    </row>
    <row r="22" spans="1:52">
      <c r="A22" s="88">
        <v>18</v>
      </c>
      <c r="B22" s="91"/>
      <c r="C22" s="91"/>
      <c r="D22" s="91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W22" s="92"/>
      <c r="AX22" s="92"/>
      <c r="AY22" s="92"/>
      <c r="AZ22" s="92"/>
    </row>
    <row r="23" spans="1:52">
      <c r="A23" s="88">
        <v>19</v>
      </c>
      <c r="B23" s="91"/>
      <c r="C23" s="91"/>
      <c r="D23" s="91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W23" s="92"/>
      <c r="AX23" s="92"/>
      <c r="AY23" s="92"/>
      <c r="AZ23" s="92"/>
    </row>
    <row r="24" spans="1:52">
      <c r="A24" s="88">
        <v>20</v>
      </c>
      <c r="B24" s="91"/>
      <c r="C24" s="91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</row>
    <row r="25" spans="1:52">
      <c r="A25" s="88">
        <v>21</v>
      </c>
      <c r="B25" s="91">
        <v>23.3</v>
      </c>
      <c r="C25" s="91">
        <v>3000</v>
      </c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W25" s="92"/>
      <c r="AX25" s="92"/>
      <c r="AY25" s="92"/>
      <c r="AZ25" s="92"/>
    </row>
    <row r="26" spans="1:52">
      <c r="A26" s="88">
        <v>22</v>
      </c>
      <c r="B26" s="91">
        <v>11.8</v>
      </c>
      <c r="C26" s="91">
        <v>3000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</row>
    <row r="27" spans="1:52">
      <c r="A27" s="88">
        <v>23</v>
      </c>
      <c r="B27" s="87"/>
      <c r="C27" s="87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</row>
    <row r="28" spans="1:52">
      <c r="A28" s="88">
        <v>24</v>
      </c>
      <c r="B28" s="89"/>
      <c r="C28" s="87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</row>
    <row r="29" spans="1:52">
      <c r="A29" s="90">
        <v>25</v>
      </c>
      <c r="B29" s="91"/>
      <c r="C29" s="91"/>
      <c r="D29" s="91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</row>
    <row r="30" spans="1:52" ht="15.75" thickBot="1"/>
    <row r="31" spans="1:52" s="1" customFormat="1" ht="15.75" thickBot="1">
      <c r="B31" s="10">
        <f>SUM(B5:B29)</f>
        <v>35.1</v>
      </c>
      <c r="C31" s="11"/>
      <c r="D31" s="11">
        <f>SUM(D5:D29)</f>
        <v>0</v>
      </c>
      <c r="E31" s="11"/>
      <c r="F31" s="11">
        <f>SUM(F5:F29)</f>
        <v>0</v>
      </c>
      <c r="G31" s="11"/>
      <c r="H31" s="11">
        <f>SUM(H5:H29)</f>
        <v>0</v>
      </c>
      <c r="I31" s="11"/>
      <c r="J31" s="11">
        <f>SUM(J5:J29)</f>
        <v>0</v>
      </c>
      <c r="K31" s="11"/>
      <c r="L31" s="11">
        <f>SUM(L5:L29)</f>
        <v>0</v>
      </c>
      <c r="M31" s="11"/>
      <c r="N31" s="11">
        <f>SUM(N5:N29)</f>
        <v>0</v>
      </c>
      <c r="O31" s="11"/>
      <c r="P31" s="11">
        <f>SUM(P5:P29)</f>
        <v>0</v>
      </c>
      <c r="Q31" s="11"/>
      <c r="R31" s="11">
        <f>SUM(R5:R29)</f>
        <v>0</v>
      </c>
      <c r="S31" s="11"/>
      <c r="T31" s="11">
        <f>SUM(T5:T29)</f>
        <v>0</v>
      </c>
      <c r="U31" s="11"/>
      <c r="V31" s="11">
        <f>SUM(V5:V29)</f>
        <v>0</v>
      </c>
      <c r="W31" s="11"/>
      <c r="X31" s="11">
        <f>SUM(X5:X29)</f>
        <v>0</v>
      </c>
      <c r="Y31" s="11"/>
      <c r="Z31" s="11">
        <f>SUM(Z5:Z29)</f>
        <v>0</v>
      </c>
      <c r="AA31" s="11"/>
      <c r="AB31" s="11">
        <f>SUM(AB5:AB29)</f>
        <v>0</v>
      </c>
      <c r="AC31" s="11"/>
      <c r="AD31" s="11">
        <f>SUM(AD5:AD29)</f>
        <v>0</v>
      </c>
      <c r="AE31" s="11"/>
      <c r="AF31" s="11">
        <f>SUM(AF5:AF29)</f>
        <v>0</v>
      </c>
      <c r="AG31" s="11"/>
      <c r="AH31" s="11">
        <f>SUM(AH5:AH29)</f>
        <v>0</v>
      </c>
      <c r="AI31" s="11"/>
      <c r="AJ31" s="11">
        <f>SUM(AJ5:AJ29)</f>
        <v>0</v>
      </c>
      <c r="AK31" s="11"/>
      <c r="AL31" s="11">
        <f>SUM(AL5:AL29)</f>
        <v>0</v>
      </c>
      <c r="AM31" s="11"/>
      <c r="AN31" s="11">
        <f>SUM(AN5:AN29)</f>
        <v>0</v>
      </c>
      <c r="AO31" s="11"/>
      <c r="AP31" s="11">
        <f>SUM(AP5:AP29)</f>
        <v>0</v>
      </c>
      <c r="AQ31" s="11"/>
      <c r="AR31" s="11">
        <f>SUM(AR5:AR29)</f>
        <v>0</v>
      </c>
      <c r="AS31" s="11"/>
      <c r="AT31" s="11">
        <f>SUM(AT5:AT29)</f>
        <v>0</v>
      </c>
      <c r="AU31" s="11"/>
      <c r="AV31" s="11">
        <f>SUM(AV5:AV29)</f>
        <v>0</v>
      </c>
      <c r="AW31" s="11"/>
      <c r="AX31" s="11">
        <f>SUM(AX5:AX29)</f>
        <v>0</v>
      </c>
      <c r="AY31" s="12"/>
    </row>
  </sheetData>
  <conditionalFormatting sqref="B27:B29">
    <cfRule type="cellIs" dxfId="5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rgb="FFFF9999"/>
  </sheetPr>
  <dimension ref="A1:AZ31"/>
  <sheetViews>
    <sheetView zoomScale="85" zoomScaleNormal="85" workbookViewId="0">
      <selection activeCell="A4" sqref="A4:AZ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4.7109375" style="1" bestFit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2" ht="21">
      <c r="A1" s="1" t="s">
        <v>4</v>
      </c>
      <c r="D1" s="9" t="s">
        <v>8</v>
      </c>
    </row>
    <row r="4" spans="1:52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</row>
    <row r="5" spans="1:52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</row>
    <row r="6" spans="1:52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</row>
    <row r="7" spans="1:52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</row>
    <row r="8" spans="1:52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</row>
    <row r="9" spans="1:52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52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52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52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52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52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52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52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</row>
    <row r="26" spans="1:52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</row>
    <row r="27" spans="1:52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</row>
    <row r="28" spans="1:52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</row>
    <row r="29" spans="1:52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</row>
    <row r="30" spans="1:52" ht="15.75" thickBot="1"/>
    <row r="31" spans="1:52" ht="15.75" thickBot="1">
      <c r="B31" s="10">
        <f>SUM(B5:B29)</f>
        <v>0</v>
      </c>
      <c r="C31" s="11"/>
      <c r="D31" s="11">
        <f>SUM(D5:D29)</f>
        <v>0</v>
      </c>
      <c r="E31" s="11"/>
      <c r="F31" s="11">
        <f>SUM(F5:F29)</f>
        <v>0</v>
      </c>
      <c r="G31" s="11"/>
      <c r="H31" s="11">
        <f>SUM(H5:H29)</f>
        <v>0</v>
      </c>
      <c r="I31" s="11"/>
      <c r="J31" s="11">
        <f>SUM(J5:J29)</f>
        <v>0</v>
      </c>
      <c r="K31" s="11"/>
      <c r="L31" s="11">
        <f>SUM(L5:L29)</f>
        <v>0</v>
      </c>
      <c r="M31" s="11"/>
      <c r="N31" s="11">
        <f>SUM(N5:N29)</f>
        <v>0</v>
      </c>
      <c r="O31" s="11"/>
      <c r="P31" s="11">
        <f>SUM(P5:P29)</f>
        <v>0</v>
      </c>
      <c r="Q31" s="11"/>
      <c r="R31" s="11">
        <f>SUM(R5:R29)</f>
        <v>0</v>
      </c>
      <c r="S31" s="11"/>
      <c r="T31" s="11">
        <f>SUM(T5:T29)</f>
        <v>0</v>
      </c>
      <c r="U31" s="11"/>
      <c r="V31" s="11">
        <f>SUM(V5:V29)</f>
        <v>0</v>
      </c>
      <c r="W31" s="11"/>
      <c r="X31" s="11">
        <f>SUM(X5:X29)</f>
        <v>0</v>
      </c>
      <c r="Y31" s="11"/>
      <c r="Z31" s="11">
        <f>SUM(Z5:Z29)</f>
        <v>0</v>
      </c>
      <c r="AA31" s="11"/>
      <c r="AB31" s="11">
        <f>SUM(AB5:AB29)</f>
        <v>0</v>
      </c>
      <c r="AC31" s="11"/>
      <c r="AD31" s="11">
        <f>SUM(AD5:AD29)</f>
        <v>0</v>
      </c>
      <c r="AE31" s="11"/>
      <c r="AF31" s="11">
        <f>SUM(AF5:AF29)</f>
        <v>0</v>
      </c>
      <c r="AG31" s="11"/>
      <c r="AH31" s="11">
        <f>SUM(AH5:AH29)</f>
        <v>0</v>
      </c>
      <c r="AI31" s="11"/>
      <c r="AJ31" s="11">
        <f>SUM(AJ5:AJ29)</f>
        <v>0</v>
      </c>
      <c r="AK31" s="11"/>
      <c r="AL31" s="11">
        <f>SUM(AL5:AL29)</f>
        <v>0</v>
      </c>
      <c r="AM31" s="11"/>
      <c r="AN31" s="11">
        <f>SUM(AN5:AN29)</f>
        <v>0</v>
      </c>
      <c r="AO31" s="11"/>
      <c r="AP31" s="11">
        <f>SUM(AP5:AP29)</f>
        <v>0</v>
      </c>
      <c r="AQ31" s="11"/>
      <c r="AR31" s="11">
        <f>SUM(AR5:AR29)</f>
        <v>0</v>
      </c>
      <c r="AS31" s="11"/>
      <c r="AT31" s="11">
        <f>SUM(AT5:AT29)</f>
        <v>0</v>
      </c>
      <c r="AU31" s="11"/>
      <c r="AV31" s="11">
        <f>SUM(AV5:AV29)</f>
        <v>0</v>
      </c>
      <c r="AW31" s="11"/>
      <c r="AX31" s="11">
        <f>SUM(AX5:AX29)</f>
        <v>0</v>
      </c>
      <c r="AY31" s="12"/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rgb="FFFF9999"/>
  </sheetPr>
  <dimension ref="A1:AZ31"/>
  <sheetViews>
    <sheetView workbookViewId="0">
      <selection activeCell="A4" sqref="A4:AZ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4.7109375" style="1" bestFit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2" ht="21">
      <c r="A1" s="1" t="s">
        <v>5</v>
      </c>
      <c r="D1" s="9" t="s">
        <v>8</v>
      </c>
    </row>
    <row r="4" spans="1:52">
      <c r="A4" s="23" t="s">
        <v>0</v>
      </c>
      <c r="B4" s="23" t="s">
        <v>1</v>
      </c>
      <c r="C4" s="23" t="s">
        <v>2</v>
      </c>
      <c r="D4" s="23" t="s">
        <v>1</v>
      </c>
      <c r="E4" s="23" t="s">
        <v>2</v>
      </c>
      <c r="F4" s="23" t="s">
        <v>1</v>
      </c>
      <c r="G4" s="23" t="s">
        <v>2</v>
      </c>
      <c r="H4" s="23" t="s">
        <v>1</v>
      </c>
      <c r="I4" s="23" t="s">
        <v>2</v>
      </c>
      <c r="J4" s="23" t="s">
        <v>1</v>
      </c>
      <c r="K4" s="23" t="s">
        <v>2</v>
      </c>
      <c r="L4" s="23" t="s">
        <v>1</v>
      </c>
      <c r="M4" s="23" t="s">
        <v>2</v>
      </c>
      <c r="N4" s="23" t="s">
        <v>1</v>
      </c>
      <c r="O4" s="23" t="s">
        <v>2</v>
      </c>
      <c r="P4" s="23" t="s">
        <v>1</v>
      </c>
      <c r="Q4" s="23" t="s">
        <v>2</v>
      </c>
      <c r="R4" s="23" t="s">
        <v>1</v>
      </c>
      <c r="S4" s="23" t="s">
        <v>2</v>
      </c>
      <c r="T4" s="23" t="s">
        <v>1</v>
      </c>
      <c r="U4" s="23" t="s">
        <v>2</v>
      </c>
      <c r="V4" s="23" t="s">
        <v>1</v>
      </c>
      <c r="W4" s="23" t="s">
        <v>2</v>
      </c>
      <c r="X4" s="23" t="s">
        <v>1</v>
      </c>
      <c r="Y4" s="23" t="s">
        <v>2</v>
      </c>
      <c r="Z4" s="23" t="s">
        <v>1</v>
      </c>
      <c r="AA4" s="23" t="s">
        <v>2</v>
      </c>
      <c r="AB4" s="23" t="s">
        <v>1</v>
      </c>
      <c r="AC4" s="23" t="s">
        <v>2</v>
      </c>
      <c r="AD4" s="23" t="s">
        <v>1</v>
      </c>
      <c r="AE4" s="23" t="s">
        <v>2</v>
      </c>
      <c r="AF4" s="23" t="s">
        <v>1</v>
      </c>
      <c r="AG4" s="23" t="s">
        <v>2</v>
      </c>
      <c r="AH4" s="23" t="s">
        <v>1</v>
      </c>
      <c r="AI4" s="23" t="s">
        <v>2</v>
      </c>
      <c r="AJ4" s="23" t="s">
        <v>1</v>
      </c>
      <c r="AK4" s="23" t="s">
        <v>2</v>
      </c>
      <c r="AL4" s="23" t="s">
        <v>1</v>
      </c>
      <c r="AM4" s="23" t="s">
        <v>2</v>
      </c>
      <c r="AN4" s="23" t="s">
        <v>1</v>
      </c>
      <c r="AO4" s="23" t="s">
        <v>2</v>
      </c>
      <c r="AP4" s="23" t="s">
        <v>1</v>
      </c>
      <c r="AQ4" s="23" t="s">
        <v>2</v>
      </c>
      <c r="AR4" s="23" t="s">
        <v>1</v>
      </c>
      <c r="AS4" s="23" t="s">
        <v>2</v>
      </c>
      <c r="AT4" s="23" t="s">
        <v>1</v>
      </c>
      <c r="AU4" s="23" t="s">
        <v>2</v>
      </c>
      <c r="AV4" s="23" t="s">
        <v>1</v>
      </c>
      <c r="AW4" s="23" t="s">
        <v>2</v>
      </c>
      <c r="AX4" s="23" t="s">
        <v>1</v>
      </c>
      <c r="AY4" s="23" t="s">
        <v>2</v>
      </c>
      <c r="AZ4" s="23"/>
    </row>
    <row r="5" spans="1:52">
      <c r="A5" s="23">
        <v>1</v>
      </c>
      <c r="B5" s="23">
        <v>15.2</v>
      </c>
      <c r="C5" s="23">
        <v>3000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</row>
    <row r="6" spans="1:52">
      <c r="A6" s="23">
        <v>2</v>
      </c>
      <c r="B6" s="23">
        <v>15.2</v>
      </c>
      <c r="C6" s="23">
        <v>3000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</row>
    <row r="7" spans="1:52">
      <c r="A7" s="23">
        <v>3</v>
      </c>
      <c r="B7" s="23">
        <v>15.7</v>
      </c>
      <c r="C7" s="23">
        <v>3000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</row>
    <row r="8" spans="1:52">
      <c r="A8" s="23">
        <v>4</v>
      </c>
      <c r="B8" s="23">
        <v>16.5</v>
      </c>
      <c r="C8" s="23">
        <v>3000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</row>
    <row r="9" spans="1:52">
      <c r="A9" s="23">
        <v>5</v>
      </c>
      <c r="B9" s="23">
        <v>16.5</v>
      </c>
      <c r="C9" s="23">
        <v>3000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52">
      <c r="A10" s="23">
        <v>6</v>
      </c>
      <c r="B10" s="23">
        <v>16.5</v>
      </c>
      <c r="C10" s="23">
        <v>3000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52">
      <c r="A11" s="23">
        <v>7</v>
      </c>
      <c r="B11" s="23">
        <v>16.5</v>
      </c>
      <c r="C11" s="23">
        <v>3000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52">
      <c r="A12" s="23">
        <v>8</v>
      </c>
      <c r="B12" s="23">
        <v>28.8</v>
      </c>
      <c r="C12" s="23">
        <v>3000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52">
      <c r="A13" s="23">
        <v>9</v>
      </c>
      <c r="B13" s="23">
        <v>32.5</v>
      </c>
      <c r="C13" s="23">
        <v>3000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52">
      <c r="A14" s="23">
        <v>10</v>
      </c>
      <c r="B14" s="23">
        <v>33</v>
      </c>
      <c r="C14" s="23">
        <v>3000</v>
      </c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52">
      <c r="A15" s="23">
        <v>11</v>
      </c>
      <c r="B15" s="23">
        <v>33</v>
      </c>
      <c r="C15" s="23">
        <v>3000</v>
      </c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52">
      <c r="A16" s="23">
        <v>12</v>
      </c>
      <c r="B16" s="23">
        <v>33</v>
      </c>
      <c r="C16" s="23">
        <v>3000</v>
      </c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>
      <c r="A17" s="23">
        <v>13</v>
      </c>
      <c r="B17" s="23">
        <v>33</v>
      </c>
      <c r="C17" s="23">
        <v>3000</v>
      </c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>
      <c r="A18" s="23">
        <v>14</v>
      </c>
      <c r="B18" s="23">
        <v>33</v>
      </c>
      <c r="C18" s="23">
        <v>3000</v>
      </c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>
      <c r="A19" s="23">
        <v>15</v>
      </c>
      <c r="B19" s="23">
        <v>33</v>
      </c>
      <c r="C19" s="23">
        <v>3000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>
      <c r="A20" s="23">
        <v>16</v>
      </c>
      <c r="B20" s="23">
        <v>33</v>
      </c>
      <c r="C20" s="23">
        <v>3000</v>
      </c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>
      <c r="A21" s="23">
        <v>17</v>
      </c>
      <c r="B21" s="23">
        <v>32.299999999999997</v>
      </c>
      <c r="C21" s="23">
        <v>3000</v>
      </c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>
      <c r="A22" s="23">
        <v>18</v>
      </c>
      <c r="B22" s="23">
        <v>31.5</v>
      </c>
      <c r="C22" s="23">
        <v>3000</v>
      </c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>
      <c r="A23" s="23">
        <v>19</v>
      </c>
      <c r="B23" s="23">
        <v>31.4</v>
      </c>
      <c r="C23" s="23">
        <v>3000</v>
      </c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>
      <c r="A24" s="23">
        <v>20</v>
      </c>
      <c r="B24" s="23">
        <v>31.4</v>
      </c>
      <c r="C24" s="23">
        <v>3000</v>
      </c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>
      <c r="A25" s="23">
        <v>21</v>
      </c>
      <c r="B25" s="23">
        <v>29</v>
      </c>
      <c r="C25" s="23">
        <v>3000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</row>
    <row r="26" spans="1:52">
      <c r="A26" s="23">
        <v>22</v>
      </c>
      <c r="B26" s="23">
        <v>29</v>
      </c>
      <c r="C26" s="23">
        <v>3000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</row>
    <row r="27" spans="1:52">
      <c r="A27" s="23">
        <v>23</v>
      </c>
      <c r="B27" s="23">
        <v>28.9</v>
      </c>
      <c r="C27" s="23">
        <v>3000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</row>
    <row r="28" spans="1:52">
      <c r="A28" s="23">
        <v>24</v>
      </c>
      <c r="B28" s="23">
        <v>16.2</v>
      </c>
      <c r="C28" s="23">
        <v>3000</v>
      </c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</row>
    <row r="29" spans="1:52">
      <c r="A29" s="23">
        <v>25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</row>
    <row r="30" spans="1:52" ht="15.75" thickBot="1"/>
    <row r="31" spans="1:52" ht="15.75" thickBot="1">
      <c r="B31" s="10">
        <f>SUM(B5:B29)</f>
        <v>634.1</v>
      </c>
      <c r="C31" s="11"/>
      <c r="D31" s="11">
        <f>SUM(D5:D29)</f>
        <v>0</v>
      </c>
      <c r="E31" s="11"/>
      <c r="F31" s="11">
        <f>SUM(F5:F29)</f>
        <v>0</v>
      </c>
      <c r="G31" s="11"/>
      <c r="H31" s="11">
        <f>SUM(H5:H29)</f>
        <v>0</v>
      </c>
      <c r="I31" s="11"/>
      <c r="J31" s="11">
        <f>SUM(J5:J29)</f>
        <v>0</v>
      </c>
      <c r="K31" s="11"/>
      <c r="L31" s="11">
        <f>SUM(L5:L29)</f>
        <v>0</v>
      </c>
      <c r="M31" s="11"/>
      <c r="N31" s="11">
        <f>SUM(N5:N29)</f>
        <v>0</v>
      </c>
      <c r="O31" s="11"/>
      <c r="P31" s="11">
        <f>SUM(P5:P29)</f>
        <v>0</v>
      </c>
      <c r="Q31" s="11"/>
      <c r="R31" s="11">
        <f>SUM(R5:R29)</f>
        <v>0</v>
      </c>
      <c r="S31" s="11"/>
      <c r="T31" s="11">
        <f>SUM(T5:T29)</f>
        <v>0</v>
      </c>
      <c r="U31" s="11"/>
      <c r="V31" s="11">
        <f>SUM(V5:V29)</f>
        <v>0</v>
      </c>
      <c r="W31" s="11"/>
      <c r="X31" s="11">
        <f>SUM(X5:X29)</f>
        <v>0</v>
      </c>
      <c r="Y31" s="11"/>
      <c r="Z31" s="11">
        <f>SUM(Z5:Z29)</f>
        <v>0</v>
      </c>
      <c r="AA31" s="11"/>
      <c r="AB31" s="11">
        <f>SUM(AB5:AB29)</f>
        <v>0</v>
      </c>
      <c r="AC31" s="11"/>
      <c r="AD31" s="11">
        <f>SUM(AD5:AD29)</f>
        <v>0</v>
      </c>
      <c r="AE31" s="11"/>
      <c r="AF31" s="11">
        <f>SUM(AF5:AF29)</f>
        <v>0</v>
      </c>
      <c r="AG31" s="11"/>
      <c r="AH31" s="11">
        <f>SUM(AH5:AH29)</f>
        <v>0</v>
      </c>
      <c r="AI31" s="11"/>
      <c r="AJ31" s="11">
        <f>SUM(AJ5:AJ29)</f>
        <v>0</v>
      </c>
      <c r="AK31" s="11"/>
      <c r="AL31" s="11">
        <f>SUM(AL5:AL29)</f>
        <v>0</v>
      </c>
      <c r="AM31" s="11"/>
      <c r="AN31" s="11">
        <f>SUM(AN5:AN29)</f>
        <v>0</v>
      </c>
      <c r="AO31" s="11"/>
      <c r="AP31" s="11">
        <f>SUM(AP5:AP29)</f>
        <v>0</v>
      </c>
      <c r="AQ31" s="11"/>
      <c r="AR31" s="11">
        <f>SUM(AR5:AR29)</f>
        <v>0</v>
      </c>
      <c r="AS31" s="11"/>
      <c r="AT31" s="11">
        <f>SUM(AT5:AT29)</f>
        <v>0</v>
      </c>
      <c r="AU31" s="11"/>
      <c r="AV31" s="11">
        <f>SUM(AV5:AV29)</f>
        <v>0</v>
      </c>
      <c r="AW31" s="11"/>
      <c r="AX31" s="11">
        <f>SUM(AX5:AX29)</f>
        <v>0</v>
      </c>
      <c r="AY31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6">
    <tabColor rgb="FF99FF66"/>
  </sheetPr>
  <dimension ref="A1:AY48"/>
  <sheetViews>
    <sheetView zoomScale="85" zoomScaleNormal="85" workbookViewId="0">
      <selection activeCell="A5" sqref="A5:AY28"/>
    </sheetView>
  </sheetViews>
  <sheetFormatPr defaultRowHeight="15"/>
  <cols>
    <col min="1" max="1" width="24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7.5703125" style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1" ht="30">
      <c r="A1" s="1" t="s">
        <v>6</v>
      </c>
      <c r="B1" s="59">
        <f>'Buy summary'!B1</f>
        <v>41962</v>
      </c>
      <c r="D1" s="20" t="s">
        <v>10</v>
      </c>
      <c r="F1" s="114" t="s">
        <v>30</v>
      </c>
      <c r="G1" s="115" t="s">
        <v>98</v>
      </c>
    </row>
    <row r="2" spans="1:51" ht="46.5">
      <c r="B2" s="2"/>
      <c r="F2" s="116" t="str">
        <f>IF(E43=0,"OK","ERRORE")</f>
        <v>OK</v>
      </c>
      <c r="G2" s="118" t="str">
        <f>IF(AND(Verbale!D9&lt;='Sell summary'!B1,'Sell summary'!B1&lt;=Verbale!D10),IF(I2&lt;=10000000,"OK","KO"),"VERBALE KO")</f>
        <v>OK</v>
      </c>
      <c r="H2" s="46" t="s">
        <v>40</v>
      </c>
      <c r="I2" s="73">
        <f>SUM(48:48)</f>
        <v>-393368.6</v>
      </c>
      <c r="J2" s="1" t="s">
        <v>41</v>
      </c>
    </row>
    <row r="3" spans="1:51" ht="15.75" thickBot="1">
      <c r="B3" s="1" t="s">
        <v>7</v>
      </c>
      <c r="C3" s="1" t="s">
        <v>7</v>
      </c>
    </row>
    <row r="4" spans="1:51">
      <c r="A4" s="3" t="s">
        <v>0</v>
      </c>
      <c r="B4" s="4" t="s">
        <v>1</v>
      </c>
      <c r="C4" s="4" t="s">
        <v>2</v>
      </c>
      <c r="D4" s="5" t="s">
        <v>1</v>
      </c>
      <c r="E4" s="5" t="s">
        <v>2</v>
      </c>
      <c r="F4" s="5" t="s">
        <v>1</v>
      </c>
      <c r="G4" s="5" t="s">
        <v>2</v>
      </c>
      <c r="H4" s="5" t="s">
        <v>1</v>
      </c>
      <c r="I4" s="5" t="s">
        <v>2</v>
      </c>
      <c r="J4" s="5" t="s">
        <v>1</v>
      </c>
      <c r="K4" s="5" t="s">
        <v>2</v>
      </c>
      <c r="L4" s="5" t="s">
        <v>1</v>
      </c>
      <c r="M4" s="5" t="s">
        <v>2</v>
      </c>
      <c r="N4" s="5" t="s">
        <v>1</v>
      </c>
      <c r="O4" s="5" t="s">
        <v>2</v>
      </c>
      <c r="P4" s="5" t="s">
        <v>1</v>
      </c>
      <c r="Q4" s="5" t="s">
        <v>2</v>
      </c>
      <c r="R4" s="5" t="s">
        <v>1</v>
      </c>
      <c r="S4" s="5" t="s">
        <v>2</v>
      </c>
      <c r="T4" s="5" t="s">
        <v>1</v>
      </c>
      <c r="U4" s="5" t="s">
        <v>2</v>
      </c>
      <c r="V4" s="5" t="s">
        <v>1</v>
      </c>
      <c r="W4" s="5" t="s">
        <v>2</v>
      </c>
      <c r="X4" s="5" t="s">
        <v>1</v>
      </c>
      <c r="Y4" s="5" t="s">
        <v>2</v>
      </c>
      <c r="Z4" s="5" t="s">
        <v>1</v>
      </c>
      <c r="AA4" s="5" t="s">
        <v>2</v>
      </c>
      <c r="AB4" s="5" t="s">
        <v>1</v>
      </c>
      <c r="AC4" s="5" t="s">
        <v>2</v>
      </c>
      <c r="AD4" s="5" t="s">
        <v>1</v>
      </c>
      <c r="AE4" s="5" t="s">
        <v>2</v>
      </c>
      <c r="AF4" s="5" t="s">
        <v>1</v>
      </c>
      <c r="AG4" s="5" t="s">
        <v>2</v>
      </c>
      <c r="AH4" s="5" t="s">
        <v>1</v>
      </c>
      <c r="AI4" s="5" t="s">
        <v>2</v>
      </c>
      <c r="AJ4" s="5" t="s">
        <v>1</v>
      </c>
      <c r="AK4" s="5" t="s">
        <v>2</v>
      </c>
      <c r="AL4" s="5" t="s">
        <v>1</v>
      </c>
      <c r="AM4" s="5" t="s">
        <v>2</v>
      </c>
      <c r="AN4" s="5" t="s">
        <v>1</v>
      </c>
      <c r="AO4" s="5" t="s">
        <v>2</v>
      </c>
      <c r="AP4" s="5" t="s">
        <v>1</v>
      </c>
      <c r="AQ4" s="5" t="s">
        <v>2</v>
      </c>
      <c r="AR4" s="5" t="s">
        <v>1</v>
      </c>
      <c r="AS4" s="5" t="s">
        <v>2</v>
      </c>
      <c r="AT4" s="5" t="str">
        <f>'NET sell'!AR4</f>
        <v>Volume (MWh)</v>
      </c>
      <c r="AU4" s="5" t="s">
        <v>2</v>
      </c>
      <c r="AV4" s="5" t="s">
        <v>1</v>
      </c>
      <c r="AW4" s="5" t="s">
        <v>2</v>
      </c>
      <c r="AX4" s="5" t="s">
        <v>1</v>
      </c>
      <c r="AY4" s="24" t="s">
        <v>2</v>
      </c>
    </row>
    <row r="5" spans="1:51">
      <c r="A5" s="14">
        <v>1</v>
      </c>
      <c r="B5" s="15">
        <f>ROUND('Check_netting_ETS_G&amp;P'!H5,1)</f>
        <v>58.4</v>
      </c>
      <c r="C5" s="15">
        <f>IF(B5=0,0,Config!$I$2)</f>
        <v>-5</v>
      </c>
      <c r="D5" s="15">
        <f>'NET sell'!B5</f>
        <v>27.6</v>
      </c>
      <c r="E5" s="15">
        <f>'NET sell'!C5</f>
        <v>-500</v>
      </c>
      <c r="F5" s="15">
        <f>'NET sell'!D5</f>
        <v>0.7</v>
      </c>
      <c r="G5" s="15">
        <f>'NET sell'!E5</f>
        <v>30</v>
      </c>
      <c r="H5" s="15">
        <f>'NET sell'!F5</f>
        <v>3.2</v>
      </c>
      <c r="I5" s="15">
        <f>'NET sell'!G5</f>
        <v>50</v>
      </c>
      <c r="J5" s="15">
        <f>'NET sell'!H5</f>
        <v>3.3</v>
      </c>
      <c r="K5" s="15">
        <f>'NET sell'!I5</f>
        <v>55</v>
      </c>
      <c r="L5" s="15">
        <f>'NET sell'!J5</f>
        <v>1.8</v>
      </c>
      <c r="M5" s="15">
        <f>'NET sell'!K5</f>
        <v>60</v>
      </c>
      <c r="N5" s="15">
        <f>'NET sell'!L5</f>
        <v>0.6</v>
      </c>
      <c r="O5" s="15">
        <f>'NET sell'!M5</f>
        <v>65</v>
      </c>
      <c r="P5" s="15">
        <f>'NET sell'!N5</f>
        <v>2.4</v>
      </c>
      <c r="Q5" s="15">
        <f>'NET sell'!O5</f>
        <v>70</v>
      </c>
      <c r="R5" s="15">
        <f>'NET sell'!P5</f>
        <v>1.8</v>
      </c>
      <c r="S5" s="15">
        <f>'NET sell'!Q5</f>
        <v>75</v>
      </c>
      <c r="T5" s="15">
        <f>'NET sell'!R5</f>
        <v>3.4</v>
      </c>
      <c r="U5" s="15">
        <f>'NET sell'!S5</f>
        <v>99</v>
      </c>
      <c r="V5" s="15">
        <f>'NET sell'!T5</f>
        <v>1.1000000000000001</v>
      </c>
      <c r="W5" s="15">
        <f>'NET sell'!U5</f>
        <v>100</v>
      </c>
      <c r="X5" s="15">
        <f>'NET sell'!V5</f>
        <v>0</v>
      </c>
      <c r="Y5" s="15">
        <f>'NET sell'!W5</f>
        <v>0</v>
      </c>
      <c r="Z5" s="15">
        <f>'NET sell'!X5</f>
        <v>0</v>
      </c>
      <c r="AA5" s="15">
        <f>'NET sell'!Y5</f>
        <v>0</v>
      </c>
      <c r="AB5" s="15">
        <f>'NET sell'!Z5</f>
        <v>0</v>
      </c>
      <c r="AC5" s="15">
        <f>'NET sell'!AA5</f>
        <v>0</v>
      </c>
      <c r="AD5" s="15">
        <f>'NET sell'!AB5</f>
        <v>0</v>
      </c>
      <c r="AE5" s="15">
        <f>'NET sell'!AC5</f>
        <v>0</v>
      </c>
      <c r="AF5" s="15">
        <f>'NET sell'!AD5</f>
        <v>0</v>
      </c>
      <c r="AG5" s="15">
        <f>'NET sell'!AE5</f>
        <v>0</v>
      </c>
      <c r="AH5" s="15">
        <f>'NET sell'!AF5</f>
        <v>0</v>
      </c>
      <c r="AI5" s="15">
        <f>'NET sell'!AG5</f>
        <v>0</v>
      </c>
      <c r="AJ5" s="15">
        <f>'NET sell'!AH5</f>
        <v>0</v>
      </c>
      <c r="AK5" s="15">
        <f>'NET sell'!AI5</f>
        <v>0</v>
      </c>
      <c r="AL5" s="15">
        <f>'NET sell'!AJ5</f>
        <v>0</v>
      </c>
      <c r="AM5" s="15">
        <f>'NET sell'!AK5</f>
        <v>0</v>
      </c>
      <c r="AN5" s="15">
        <f>'NET sell'!AL5</f>
        <v>0</v>
      </c>
      <c r="AO5" s="15">
        <f>'NET sell'!AM5</f>
        <v>0</v>
      </c>
      <c r="AP5" s="15">
        <f>'NET sell'!AN5</f>
        <v>0</v>
      </c>
      <c r="AQ5" s="15">
        <f>'NET sell'!AO5</f>
        <v>0</v>
      </c>
      <c r="AR5" s="15">
        <f>'NET sell'!AP5</f>
        <v>0</v>
      </c>
      <c r="AS5" s="15">
        <f>'NET sell'!AQ5</f>
        <v>0</v>
      </c>
      <c r="AT5" s="15">
        <f>'NET sell'!AR5</f>
        <v>0</v>
      </c>
      <c r="AU5" s="15">
        <f>'NET sell'!AS5</f>
        <v>0</v>
      </c>
      <c r="AV5" s="15">
        <f>'NET sell'!AT5</f>
        <v>0</v>
      </c>
      <c r="AW5" s="15">
        <f>'NET sell'!AU5</f>
        <v>0</v>
      </c>
      <c r="AX5" s="15">
        <f>'NET sell'!AV5</f>
        <v>0</v>
      </c>
      <c r="AY5" s="16">
        <f>'NET sell'!AW5</f>
        <v>0</v>
      </c>
    </row>
    <row r="6" spans="1:51">
      <c r="A6" s="14">
        <v>2</v>
      </c>
      <c r="B6" s="15">
        <f>ROUND('Check_netting_ETS_G&amp;P'!H6,1)</f>
        <v>59.3</v>
      </c>
      <c r="C6" s="15">
        <f>IF(B6=0,0,Config!$I$2)</f>
        <v>-5</v>
      </c>
      <c r="D6" s="15">
        <f>'NET sell'!B6</f>
        <v>27.6</v>
      </c>
      <c r="E6" s="15">
        <f>'NET sell'!C6</f>
        <v>-500</v>
      </c>
      <c r="F6" s="15">
        <f>'NET sell'!D6</f>
        <v>0.7</v>
      </c>
      <c r="G6" s="15">
        <f>'NET sell'!E6</f>
        <v>30</v>
      </c>
      <c r="H6" s="15">
        <f>'NET sell'!F6</f>
        <v>3.2</v>
      </c>
      <c r="I6" s="15">
        <f>'NET sell'!G6</f>
        <v>50</v>
      </c>
      <c r="J6" s="15">
        <f>'NET sell'!H6</f>
        <v>3.3</v>
      </c>
      <c r="K6" s="15">
        <f>'NET sell'!I6</f>
        <v>55</v>
      </c>
      <c r="L6" s="15">
        <f>'NET sell'!J6</f>
        <v>1.8</v>
      </c>
      <c r="M6" s="15">
        <f>'NET sell'!K6</f>
        <v>60</v>
      </c>
      <c r="N6" s="15">
        <f>'NET sell'!L6</f>
        <v>0.6</v>
      </c>
      <c r="O6" s="15">
        <f>'NET sell'!M6</f>
        <v>65</v>
      </c>
      <c r="P6" s="15">
        <f>'NET sell'!N6</f>
        <v>2.4</v>
      </c>
      <c r="Q6" s="15">
        <f>'NET sell'!O6</f>
        <v>70</v>
      </c>
      <c r="R6" s="15">
        <f>'NET sell'!P6</f>
        <v>1.8</v>
      </c>
      <c r="S6" s="15">
        <f>'NET sell'!Q6</f>
        <v>75</v>
      </c>
      <c r="T6" s="15">
        <f>'NET sell'!R6</f>
        <v>3.4</v>
      </c>
      <c r="U6" s="15">
        <f>'NET sell'!S6</f>
        <v>99</v>
      </c>
      <c r="V6" s="15">
        <f>'NET sell'!T6</f>
        <v>1.1000000000000001</v>
      </c>
      <c r="W6" s="15">
        <f>'NET sell'!U6</f>
        <v>100</v>
      </c>
      <c r="X6" s="15">
        <f>'NET sell'!V6</f>
        <v>0</v>
      </c>
      <c r="Y6" s="15">
        <f>'NET sell'!W6</f>
        <v>0</v>
      </c>
      <c r="Z6" s="15">
        <f>'NET sell'!X6</f>
        <v>0</v>
      </c>
      <c r="AA6" s="15">
        <f>'NET sell'!Y6</f>
        <v>0</v>
      </c>
      <c r="AB6" s="15">
        <f>'NET sell'!Z6</f>
        <v>0</v>
      </c>
      <c r="AC6" s="15">
        <f>'NET sell'!AA6</f>
        <v>0</v>
      </c>
      <c r="AD6" s="15">
        <f>'NET sell'!AB6</f>
        <v>0</v>
      </c>
      <c r="AE6" s="15">
        <f>'NET sell'!AC6</f>
        <v>0</v>
      </c>
      <c r="AF6" s="15">
        <f>'NET sell'!AD6</f>
        <v>0</v>
      </c>
      <c r="AG6" s="15">
        <f>'NET sell'!AE6</f>
        <v>0</v>
      </c>
      <c r="AH6" s="15">
        <f>'NET sell'!AF6</f>
        <v>0</v>
      </c>
      <c r="AI6" s="15">
        <f>'NET sell'!AG6</f>
        <v>0</v>
      </c>
      <c r="AJ6" s="15">
        <f>'NET sell'!AH6</f>
        <v>0</v>
      </c>
      <c r="AK6" s="15">
        <f>'NET sell'!AI6</f>
        <v>0</v>
      </c>
      <c r="AL6" s="15">
        <f>'NET sell'!AJ6</f>
        <v>0</v>
      </c>
      <c r="AM6" s="15">
        <f>'NET sell'!AK6</f>
        <v>0</v>
      </c>
      <c r="AN6" s="15">
        <f>'NET sell'!AL6</f>
        <v>0</v>
      </c>
      <c r="AO6" s="15">
        <f>'NET sell'!AM6</f>
        <v>0</v>
      </c>
      <c r="AP6" s="15">
        <f>'NET sell'!AN6</f>
        <v>0</v>
      </c>
      <c r="AQ6" s="15">
        <f>'NET sell'!AO6</f>
        <v>0</v>
      </c>
      <c r="AR6" s="15">
        <f>'NET sell'!AP6</f>
        <v>0</v>
      </c>
      <c r="AS6" s="15">
        <f>'NET sell'!AQ6</f>
        <v>0</v>
      </c>
      <c r="AT6" s="15">
        <f>'NET sell'!AR6</f>
        <v>0</v>
      </c>
      <c r="AU6" s="15">
        <f>'NET sell'!AS6</f>
        <v>0</v>
      </c>
      <c r="AV6" s="15">
        <f>'NET sell'!AT6</f>
        <v>0</v>
      </c>
      <c r="AW6" s="15">
        <f>'NET sell'!AU6</f>
        <v>0</v>
      </c>
      <c r="AX6" s="15">
        <f>'NET sell'!AV6</f>
        <v>0</v>
      </c>
      <c r="AY6" s="16">
        <f>'NET sell'!AW6</f>
        <v>0</v>
      </c>
    </row>
    <row r="7" spans="1:51">
      <c r="A7" s="14">
        <v>3</v>
      </c>
      <c r="B7" s="15">
        <f>ROUND('Check_netting_ETS_G&amp;P'!H7,1)</f>
        <v>50.1</v>
      </c>
      <c r="C7" s="15">
        <f>IF(B7=0,0,Config!$I$2)</f>
        <v>-5</v>
      </c>
      <c r="D7" s="15">
        <f>'NET sell'!B7</f>
        <v>27.6</v>
      </c>
      <c r="E7" s="15">
        <f>'NET sell'!C7</f>
        <v>-500</v>
      </c>
      <c r="F7" s="15">
        <f>'NET sell'!D7</f>
        <v>0.7</v>
      </c>
      <c r="G7" s="15">
        <f>'NET sell'!E7</f>
        <v>30</v>
      </c>
      <c r="H7" s="15">
        <f>'NET sell'!F7</f>
        <v>3.2</v>
      </c>
      <c r="I7" s="15">
        <f>'NET sell'!G7</f>
        <v>50</v>
      </c>
      <c r="J7" s="15">
        <f>'NET sell'!H7</f>
        <v>3.3</v>
      </c>
      <c r="K7" s="15">
        <f>'NET sell'!I7</f>
        <v>55</v>
      </c>
      <c r="L7" s="15">
        <f>'NET sell'!J7</f>
        <v>1.8</v>
      </c>
      <c r="M7" s="15">
        <f>'NET sell'!K7</f>
        <v>60</v>
      </c>
      <c r="N7" s="15">
        <f>'NET sell'!L7</f>
        <v>0.6</v>
      </c>
      <c r="O7" s="15">
        <f>'NET sell'!M7</f>
        <v>65</v>
      </c>
      <c r="P7" s="15">
        <f>'NET sell'!N7</f>
        <v>2.4</v>
      </c>
      <c r="Q7" s="15">
        <f>'NET sell'!O7</f>
        <v>70</v>
      </c>
      <c r="R7" s="15">
        <f>'NET sell'!P7</f>
        <v>1.8</v>
      </c>
      <c r="S7" s="15">
        <f>'NET sell'!Q7</f>
        <v>75</v>
      </c>
      <c r="T7" s="15">
        <f>'NET sell'!R7</f>
        <v>3.4</v>
      </c>
      <c r="U7" s="15">
        <f>'NET sell'!S7</f>
        <v>99</v>
      </c>
      <c r="V7" s="15">
        <f>'NET sell'!T7</f>
        <v>1.1000000000000001</v>
      </c>
      <c r="W7" s="15">
        <f>'NET sell'!U7</f>
        <v>100</v>
      </c>
      <c r="X7" s="15">
        <f>'NET sell'!V7</f>
        <v>0</v>
      </c>
      <c r="Y7" s="15">
        <f>'NET sell'!W7</f>
        <v>0</v>
      </c>
      <c r="Z7" s="15">
        <f>'NET sell'!X7</f>
        <v>0</v>
      </c>
      <c r="AA7" s="15">
        <f>'NET sell'!Y7</f>
        <v>0</v>
      </c>
      <c r="AB7" s="15">
        <f>'NET sell'!Z7</f>
        <v>0</v>
      </c>
      <c r="AC7" s="15">
        <f>'NET sell'!AA7</f>
        <v>0</v>
      </c>
      <c r="AD7" s="15">
        <f>'NET sell'!AB7</f>
        <v>0</v>
      </c>
      <c r="AE7" s="15">
        <f>'NET sell'!AC7</f>
        <v>0</v>
      </c>
      <c r="AF7" s="15">
        <f>'NET sell'!AD7</f>
        <v>0</v>
      </c>
      <c r="AG7" s="15">
        <f>'NET sell'!AE7</f>
        <v>0</v>
      </c>
      <c r="AH7" s="15">
        <f>'NET sell'!AF7</f>
        <v>0</v>
      </c>
      <c r="AI7" s="15">
        <f>'NET sell'!AG7</f>
        <v>0</v>
      </c>
      <c r="AJ7" s="15">
        <f>'NET sell'!AH7</f>
        <v>0</v>
      </c>
      <c r="AK7" s="15">
        <f>'NET sell'!AI7</f>
        <v>0</v>
      </c>
      <c r="AL7" s="15">
        <f>'NET sell'!AJ7</f>
        <v>0</v>
      </c>
      <c r="AM7" s="15">
        <f>'NET sell'!AK7</f>
        <v>0</v>
      </c>
      <c r="AN7" s="15">
        <f>'NET sell'!AL7</f>
        <v>0</v>
      </c>
      <c r="AO7" s="15">
        <f>'NET sell'!AM7</f>
        <v>0</v>
      </c>
      <c r="AP7" s="15">
        <f>'NET sell'!AN7</f>
        <v>0</v>
      </c>
      <c r="AQ7" s="15">
        <f>'NET sell'!AO7</f>
        <v>0</v>
      </c>
      <c r="AR7" s="15">
        <f>'NET sell'!AP7</f>
        <v>0</v>
      </c>
      <c r="AS7" s="15">
        <f>'NET sell'!AQ7</f>
        <v>0</v>
      </c>
      <c r="AT7" s="15">
        <f>'NET sell'!AR7</f>
        <v>0</v>
      </c>
      <c r="AU7" s="15">
        <f>'NET sell'!AS7</f>
        <v>0</v>
      </c>
      <c r="AV7" s="15">
        <f>'NET sell'!AT7</f>
        <v>0</v>
      </c>
      <c r="AW7" s="15">
        <f>'NET sell'!AU7</f>
        <v>0</v>
      </c>
      <c r="AX7" s="15">
        <f>'NET sell'!AV7</f>
        <v>0</v>
      </c>
      <c r="AY7" s="16">
        <f>'NET sell'!AW7</f>
        <v>0</v>
      </c>
    </row>
    <row r="8" spans="1:51">
      <c r="A8" s="14">
        <v>4</v>
      </c>
      <c r="B8" s="15">
        <f>ROUND('Check_netting_ETS_G&amp;P'!H8,1)</f>
        <v>44.3</v>
      </c>
      <c r="C8" s="15">
        <f>IF(B8=0,0,Config!$I$2)</f>
        <v>-5</v>
      </c>
      <c r="D8" s="15">
        <f>'NET sell'!B8</f>
        <v>27.6</v>
      </c>
      <c r="E8" s="15">
        <f>'NET sell'!C8</f>
        <v>-500</v>
      </c>
      <c r="F8" s="15">
        <f>'NET sell'!D8</f>
        <v>0.7</v>
      </c>
      <c r="G8" s="15">
        <f>'NET sell'!E8</f>
        <v>30</v>
      </c>
      <c r="H8" s="15">
        <f>'NET sell'!F8</f>
        <v>3.2</v>
      </c>
      <c r="I8" s="15">
        <f>'NET sell'!G8</f>
        <v>50</v>
      </c>
      <c r="J8" s="15">
        <f>'NET sell'!H8</f>
        <v>3.3</v>
      </c>
      <c r="K8" s="15">
        <f>'NET sell'!I8</f>
        <v>55</v>
      </c>
      <c r="L8" s="15">
        <f>'NET sell'!J8</f>
        <v>1.8</v>
      </c>
      <c r="M8" s="15">
        <f>'NET sell'!K8</f>
        <v>60</v>
      </c>
      <c r="N8" s="15">
        <f>'NET sell'!L8</f>
        <v>0.6</v>
      </c>
      <c r="O8" s="15">
        <f>'NET sell'!M8</f>
        <v>65</v>
      </c>
      <c r="P8" s="15">
        <f>'NET sell'!N8</f>
        <v>2.4</v>
      </c>
      <c r="Q8" s="15">
        <f>'NET sell'!O8</f>
        <v>70</v>
      </c>
      <c r="R8" s="15">
        <f>'NET sell'!P8</f>
        <v>1.8</v>
      </c>
      <c r="S8" s="15">
        <f>'NET sell'!Q8</f>
        <v>75</v>
      </c>
      <c r="T8" s="15">
        <f>'NET sell'!R8</f>
        <v>3.4</v>
      </c>
      <c r="U8" s="15">
        <f>'NET sell'!S8</f>
        <v>99</v>
      </c>
      <c r="V8" s="15">
        <f>'NET sell'!T8</f>
        <v>1.1000000000000001</v>
      </c>
      <c r="W8" s="15">
        <f>'NET sell'!U8</f>
        <v>100</v>
      </c>
      <c r="X8" s="15">
        <f>'NET sell'!V8</f>
        <v>0</v>
      </c>
      <c r="Y8" s="15">
        <f>'NET sell'!W8</f>
        <v>0</v>
      </c>
      <c r="Z8" s="15">
        <f>'NET sell'!X8</f>
        <v>0</v>
      </c>
      <c r="AA8" s="15">
        <f>'NET sell'!Y8</f>
        <v>0</v>
      </c>
      <c r="AB8" s="15">
        <f>'NET sell'!Z8</f>
        <v>0</v>
      </c>
      <c r="AC8" s="15">
        <f>'NET sell'!AA8</f>
        <v>0</v>
      </c>
      <c r="AD8" s="15">
        <f>'NET sell'!AB8</f>
        <v>0</v>
      </c>
      <c r="AE8" s="15">
        <f>'NET sell'!AC8</f>
        <v>0</v>
      </c>
      <c r="AF8" s="15">
        <f>'NET sell'!AD8</f>
        <v>0</v>
      </c>
      <c r="AG8" s="15">
        <f>'NET sell'!AE8</f>
        <v>0</v>
      </c>
      <c r="AH8" s="15">
        <f>'NET sell'!AF8</f>
        <v>0</v>
      </c>
      <c r="AI8" s="15">
        <f>'NET sell'!AG8</f>
        <v>0</v>
      </c>
      <c r="AJ8" s="15">
        <f>'NET sell'!AH8</f>
        <v>0</v>
      </c>
      <c r="AK8" s="15">
        <f>'NET sell'!AI8</f>
        <v>0</v>
      </c>
      <c r="AL8" s="15">
        <f>'NET sell'!AJ8</f>
        <v>0</v>
      </c>
      <c r="AM8" s="15">
        <f>'NET sell'!AK8</f>
        <v>0</v>
      </c>
      <c r="AN8" s="15">
        <f>'NET sell'!AL8</f>
        <v>0</v>
      </c>
      <c r="AO8" s="15">
        <f>'NET sell'!AM8</f>
        <v>0</v>
      </c>
      <c r="AP8" s="15">
        <f>'NET sell'!AN8</f>
        <v>0</v>
      </c>
      <c r="AQ8" s="15">
        <f>'NET sell'!AO8</f>
        <v>0</v>
      </c>
      <c r="AR8" s="15">
        <f>'NET sell'!AP8</f>
        <v>0</v>
      </c>
      <c r="AS8" s="15">
        <f>'NET sell'!AQ8</f>
        <v>0</v>
      </c>
      <c r="AT8" s="15">
        <f>'NET sell'!AR8</f>
        <v>0</v>
      </c>
      <c r="AU8" s="15">
        <f>'NET sell'!AS8</f>
        <v>0</v>
      </c>
      <c r="AV8" s="15">
        <f>'NET sell'!AT8</f>
        <v>0</v>
      </c>
      <c r="AW8" s="15">
        <f>'NET sell'!AU8</f>
        <v>0</v>
      </c>
      <c r="AX8" s="15">
        <f>'NET sell'!AV8</f>
        <v>0</v>
      </c>
      <c r="AY8" s="16">
        <f>'NET sell'!AW8</f>
        <v>0</v>
      </c>
    </row>
    <row r="9" spans="1:51">
      <c r="A9" s="14">
        <v>5</v>
      </c>
      <c r="B9" s="15">
        <f>ROUND('Check_netting_ETS_G&amp;P'!H9,1)</f>
        <v>40.6</v>
      </c>
      <c r="C9" s="15">
        <f>IF(B9=0,0,Config!$I$2)</f>
        <v>-5</v>
      </c>
      <c r="D9" s="15">
        <f>'NET sell'!B9</f>
        <v>27.6</v>
      </c>
      <c r="E9" s="15">
        <f>'NET sell'!C9</f>
        <v>-500</v>
      </c>
      <c r="F9" s="15">
        <f>'NET sell'!D9</f>
        <v>0.7</v>
      </c>
      <c r="G9" s="15">
        <f>'NET sell'!E9</f>
        <v>30</v>
      </c>
      <c r="H9" s="15">
        <f>'NET sell'!F9</f>
        <v>3.2</v>
      </c>
      <c r="I9" s="15">
        <f>'NET sell'!G9</f>
        <v>50</v>
      </c>
      <c r="J9" s="15">
        <f>'NET sell'!H9</f>
        <v>3.3</v>
      </c>
      <c r="K9" s="15">
        <f>'NET sell'!I9</f>
        <v>55</v>
      </c>
      <c r="L9" s="15">
        <f>'NET sell'!J9</f>
        <v>1.8</v>
      </c>
      <c r="M9" s="15">
        <f>'NET sell'!K9</f>
        <v>60</v>
      </c>
      <c r="N9" s="15">
        <f>'NET sell'!L9</f>
        <v>0.6</v>
      </c>
      <c r="O9" s="15">
        <f>'NET sell'!M9</f>
        <v>65</v>
      </c>
      <c r="P9" s="15">
        <f>'NET sell'!N9</f>
        <v>2.4</v>
      </c>
      <c r="Q9" s="15">
        <f>'NET sell'!O9</f>
        <v>70</v>
      </c>
      <c r="R9" s="15">
        <f>'NET sell'!P9</f>
        <v>1.8</v>
      </c>
      <c r="S9" s="15">
        <f>'NET sell'!Q9</f>
        <v>75</v>
      </c>
      <c r="T9" s="15">
        <f>'NET sell'!R9</f>
        <v>3.4</v>
      </c>
      <c r="U9" s="15">
        <f>'NET sell'!S9</f>
        <v>99</v>
      </c>
      <c r="V9" s="15">
        <f>'NET sell'!T9</f>
        <v>1.1000000000000001</v>
      </c>
      <c r="W9" s="15">
        <f>'NET sell'!U9</f>
        <v>100</v>
      </c>
      <c r="X9" s="15">
        <f>'NET sell'!V9</f>
        <v>0</v>
      </c>
      <c r="Y9" s="15">
        <f>'NET sell'!W9</f>
        <v>0</v>
      </c>
      <c r="Z9" s="15">
        <f>'NET sell'!X9</f>
        <v>0</v>
      </c>
      <c r="AA9" s="15">
        <f>'NET sell'!Y9</f>
        <v>0</v>
      </c>
      <c r="AB9" s="15">
        <f>'NET sell'!Z9</f>
        <v>0</v>
      </c>
      <c r="AC9" s="15">
        <f>'NET sell'!AA9</f>
        <v>0</v>
      </c>
      <c r="AD9" s="15">
        <f>'NET sell'!AB9</f>
        <v>0</v>
      </c>
      <c r="AE9" s="15">
        <f>'NET sell'!AC9</f>
        <v>0</v>
      </c>
      <c r="AF9" s="15">
        <f>'NET sell'!AD9</f>
        <v>0</v>
      </c>
      <c r="AG9" s="15">
        <f>'NET sell'!AE9</f>
        <v>0</v>
      </c>
      <c r="AH9" s="15">
        <f>'NET sell'!AF9</f>
        <v>0</v>
      </c>
      <c r="AI9" s="15">
        <f>'NET sell'!AG9</f>
        <v>0</v>
      </c>
      <c r="AJ9" s="15">
        <f>'NET sell'!AH9</f>
        <v>0</v>
      </c>
      <c r="AK9" s="15">
        <f>'NET sell'!AI9</f>
        <v>0</v>
      </c>
      <c r="AL9" s="15">
        <f>'NET sell'!AJ9</f>
        <v>0</v>
      </c>
      <c r="AM9" s="15">
        <f>'NET sell'!AK9</f>
        <v>0</v>
      </c>
      <c r="AN9" s="15">
        <f>'NET sell'!AL9</f>
        <v>0</v>
      </c>
      <c r="AO9" s="15">
        <f>'NET sell'!AM9</f>
        <v>0</v>
      </c>
      <c r="AP9" s="15">
        <f>'NET sell'!AN9</f>
        <v>0</v>
      </c>
      <c r="AQ9" s="15">
        <f>'NET sell'!AO9</f>
        <v>0</v>
      </c>
      <c r="AR9" s="15">
        <f>'NET sell'!AP9</f>
        <v>0</v>
      </c>
      <c r="AS9" s="15">
        <f>'NET sell'!AQ9</f>
        <v>0</v>
      </c>
      <c r="AT9" s="15">
        <f>'NET sell'!AR9</f>
        <v>0</v>
      </c>
      <c r="AU9" s="15">
        <f>'NET sell'!AS9</f>
        <v>0</v>
      </c>
      <c r="AV9" s="15">
        <f>'NET sell'!AT9</f>
        <v>0</v>
      </c>
      <c r="AW9" s="15">
        <f>'NET sell'!AU9</f>
        <v>0</v>
      </c>
      <c r="AX9" s="15">
        <f>'NET sell'!AV9</f>
        <v>0</v>
      </c>
      <c r="AY9" s="16">
        <f>'NET sell'!AW9</f>
        <v>0</v>
      </c>
    </row>
    <row r="10" spans="1:51">
      <c r="A10" s="14">
        <v>6</v>
      </c>
      <c r="B10" s="15">
        <f>ROUND('Check_netting_ETS_G&amp;P'!H10,1)</f>
        <v>27.2</v>
      </c>
      <c r="C10" s="15">
        <f>IF(B10=0,0,Config!$I$2)</f>
        <v>-5</v>
      </c>
      <c r="D10" s="15">
        <f>'NET sell'!B10</f>
        <v>27.6</v>
      </c>
      <c r="E10" s="15">
        <f>'NET sell'!C10</f>
        <v>-500</v>
      </c>
      <c r="F10" s="15">
        <f>'NET sell'!D10</f>
        <v>0.7</v>
      </c>
      <c r="G10" s="15">
        <f>'NET sell'!E10</f>
        <v>30</v>
      </c>
      <c r="H10" s="15">
        <f>'NET sell'!F10</f>
        <v>3.2</v>
      </c>
      <c r="I10" s="15">
        <f>'NET sell'!G10</f>
        <v>50</v>
      </c>
      <c r="J10" s="15">
        <f>'NET sell'!H10</f>
        <v>3.3</v>
      </c>
      <c r="K10" s="15">
        <f>'NET sell'!I10</f>
        <v>55</v>
      </c>
      <c r="L10" s="15">
        <f>'NET sell'!J10</f>
        <v>1.8</v>
      </c>
      <c r="M10" s="15">
        <f>'NET sell'!K10</f>
        <v>60</v>
      </c>
      <c r="N10" s="15">
        <f>'NET sell'!L10</f>
        <v>0.6</v>
      </c>
      <c r="O10" s="15">
        <f>'NET sell'!M10</f>
        <v>65</v>
      </c>
      <c r="P10" s="15">
        <f>'NET sell'!N10</f>
        <v>2.4</v>
      </c>
      <c r="Q10" s="15">
        <f>'NET sell'!O10</f>
        <v>70</v>
      </c>
      <c r="R10" s="15">
        <f>'NET sell'!P10</f>
        <v>1.8</v>
      </c>
      <c r="S10" s="15">
        <f>'NET sell'!Q10</f>
        <v>75</v>
      </c>
      <c r="T10" s="15">
        <f>'NET sell'!R10</f>
        <v>3.4</v>
      </c>
      <c r="U10" s="15">
        <f>'NET sell'!S10</f>
        <v>99</v>
      </c>
      <c r="V10" s="15">
        <f>'NET sell'!T10</f>
        <v>1.1000000000000001</v>
      </c>
      <c r="W10" s="15">
        <f>'NET sell'!U10</f>
        <v>100</v>
      </c>
      <c r="X10" s="15">
        <f>'NET sell'!V10</f>
        <v>0</v>
      </c>
      <c r="Y10" s="15">
        <f>'NET sell'!W10</f>
        <v>0</v>
      </c>
      <c r="Z10" s="15">
        <f>'NET sell'!X10</f>
        <v>0</v>
      </c>
      <c r="AA10" s="15">
        <f>'NET sell'!Y10</f>
        <v>0</v>
      </c>
      <c r="AB10" s="15">
        <f>'NET sell'!Z10</f>
        <v>0</v>
      </c>
      <c r="AC10" s="15">
        <f>'NET sell'!AA10</f>
        <v>0</v>
      </c>
      <c r="AD10" s="15">
        <f>'NET sell'!AB10</f>
        <v>0</v>
      </c>
      <c r="AE10" s="15">
        <f>'NET sell'!AC10</f>
        <v>0</v>
      </c>
      <c r="AF10" s="15">
        <f>'NET sell'!AD10</f>
        <v>0</v>
      </c>
      <c r="AG10" s="15">
        <f>'NET sell'!AE10</f>
        <v>0</v>
      </c>
      <c r="AH10" s="15">
        <f>'NET sell'!AF10</f>
        <v>0</v>
      </c>
      <c r="AI10" s="15">
        <f>'NET sell'!AG10</f>
        <v>0</v>
      </c>
      <c r="AJ10" s="15">
        <f>'NET sell'!AH10</f>
        <v>0</v>
      </c>
      <c r="AK10" s="15">
        <f>'NET sell'!AI10</f>
        <v>0</v>
      </c>
      <c r="AL10" s="15">
        <f>'NET sell'!AJ10</f>
        <v>0</v>
      </c>
      <c r="AM10" s="15">
        <f>'NET sell'!AK10</f>
        <v>0</v>
      </c>
      <c r="AN10" s="15">
        <f>'NET sell'!AL10</f>
        <v>0</v>
      </c>
      <c r="AO10" s="15">
        <f>'NET sell'!AM10</f>
        <v>0</v>
      </c>
      <c r="AP10" s="15">
        <f>'NET sell'!AN10</f>
        <v>0</v>
      </c>
      <c r="AQ10" s="15">
        <f>'NET sell'!AO10</f>
        <v>0</v>
      </c>
      <c r="AR10" s="15">
        <f>'NET sell'!AP10</f>
        <v>0</v>
      </c>
      <c r="AS10" s="15">
        <f>'NET sell'!AQ10</f>
        <v>0</v>
      </c>
      <c r="AT10" s="15">
        <f>'NET sell'!AR10</f>
        <v>0</v>
      </c>
      <c r="AU10" s="15">
        <f>'NET sell'!AS10</f>
        <v>0</v>
      </c>
      <c r="AV10" s="15">
        <f>'NET sell'!AT10</f>
        <v>0</v>
      </c>
      <c r="AW10" s="15">
        <f>'NET sell'!AU10</f>
        <v>0</v>
      </c>
      <c r="AX10" s="15">
        <f>'NET sell'!AV10</f>
        <v>0</v>
      </c>
      <c r="AY10" s="16">
        <f>'NET sell'!AW10</f>
        <v>0</v>
      </c>
    </row>
    <row r="11" spans="1:51">
      <c r="A11" s="14">
        <v>7</v>
      </c>
      <c r="B11" s="15">
        <f>ROUND('Check_netting_ETS_G&amp;P'!H11,1)</f>
        <v>2.4</v>
      </c>
      <c r="C11" s="15">
        <f>IF(B11=0,0,Config!$I$2)</f>
        <v>-5</v>
      </c>
      <c r="D11" s="15">
        <f>'NET sell'!B11</f>
        <v>27.6</v>
      </c>
      <c r="E11" s="15">
        <f>'NET sell'!C11</f>
        <v>-500</v>
      </c>
      <c r="F11" s="15">
        <f>'NET sell'!D11</f>
        <v>1.3</v>
      </c>
      <c r="G11" s="15">
        <f>'NET sell'!E11</f>
        <v>40</v>
      </c>
      <c r="H11" s="15">
        <f>'NET sell'!F11</f>
        <v>3.2</v>
      </c>
      <c r="I11" s="15">
        <f>'NET sell'!G11</f>
        <v>50</v>
      </c>
      <c r="J11" s="15">
        <f>'NET sell'!H11</f>
        <v>1.9</v>
      </c>
      <c r="K11" s="15">
        <f>'NET sell'!I11</f>
        <v>55</v>
      </c>
      <c r="L11" s="15">
        <f>'NET sell'!J11</f>
        <v>4.2</v>
      </c>
      <c r="M11" s="15">
        <f>'NET sell'!K11</f>
        <v>60</v>
      </c>
      <c r="N11" s="15">
        <f>'NET sell'!L11</f>
        <v>0.6</v>
      </c>
      <c r="O11" s="15">
        <f>'NET sell'!M11</f>
        <v>65</v>
      </c>
      <c r="P11" s="15">
        <f>'NET sell'!N11</f>
        <v>2.4</v>
      </c>
      <c r="Q11" s="15">
        <f>'NET sell'!O11</f>
        <v>70</v>
      </c>
      <c r="R11" s="15">
        <f>'NET sell'!P11</f>
        <v>1.8</v>
      </c>
      <c r="S11" s="15">
        <f>'NET sell'!Q11</f>
        <v>75</v>
      </c>
      <c r="T11" s="15">
        <f>'NET sell'!R11</f>
        <v>0.7</v>
      </c>
      <c r="U11" s="15">
        <f>'NET sell'!S11</f>
        <v>80</v>
      </c>
      <c r="V11" s="15">
        <f>'NET sell'!T11</f>
        <v>3.4</v>
      </c>
      <c r="W11" s="15">
        <f>'NET sell'!U11</f>
        <v>99</v>
      </c>
      <c r="X11" s="15">
        <f>'NET sell'!V11</f>
        <v>1.1000000000000001</v>
      </c>
      <c r="Y11" s="15">
        <f>'NET sell'!W11</f>
        <v>100</v>
      </c>
      <c r="Z11" s="15">
        <f>'NET sell'!X11</f>
        <v>0</v>
      </c>
      <c r="AA11" s="15">
        <f>'NET sell'!Y11</f>
        <v>0</v>
      </c>
      <c r="AB11" s="15">
        <f>'NET sell'!Z11</f>
        <v>0</v>
      </c>
      <c r="AC11" s="15">
        <f>'NET sell'!AA11</f>
        <v>0</v>
      </c>
      <c r="AD11" s="15">
        <f>'NET sell'!AB11</f>
        <v>0</v>
      </c>
      <c r="AE11" s="15">
        <f>'NET sell'!AC11</f>
        <v>0</v>
      </c>
      <c r="AF11" s="15">
        <f>'NET sell'!AD11</f>
        <v>0</v>
      </c>
      <c r="AG11" s="15">
        <f>'NET sell'!AE11</f>
        <v>0</v>
      </c>
      <c r="AH11" s="15">
        <f>'NET sell'!AF11</f>
        <v>0</v>
      </c>
      <c r="AI11" s="15">
        <f>'NET sell'!AG11</f>
        <v>0</v>
      </c>
      <c r="AJ11" s="15">
        <f>'NET sell'!AH11</f>
        <v>0</v>
      </c>
      <c r="AK11" s="15">
        <f>'NET sell'!AI11</f>
        <v>0</v>
      </c>
      <c r="AL11" s="15">
        <f>'NET sell'!AJ11</f>
        <v>0</v>
      </c>
      <c r="AM11" s="15">
        <f>'NET sell'!AK11</f>
        <v>0</v>
      </c>
      <c r="AN11" s="15">
        <f>'NET sell'!AL11</f>
        <v>0</v>
      </c>
      <c r="AO11" s="15">
        <f>'NET sell'!AM11</f>
        <v>0</v>
      </c>
      <c r="AP11" s="15">
        <f>'NET sell'!AN11</f>
        <v>0</v>
      </c>
      <c r="AQ11" s="15">
        <f>'NET sell'!AO11</f>
        <v>0</v>
      </c>
      <c r="AR11" s="15">
        <f>'NET sell'!AP11</f>
        <v>0</v>
      </c>
      <c r="AS11" s="15">
        <f>'NET sell'!AQ11</f>
        <v>0</v>
      </c>
      <c r="AT11" s="15">
        <f>'NET sell'!AR11</f>
        <v>0</v>
      </c>
      <c r="AU11" s="15">
        <f>'NET sell'!AS11</f>
        <v>0</v>
      </c>
      <c r="AV11" s="15">
        <f>'NET sell'!AT11</f>
        <v>0</v>
      </c>
      <c r="AW11" s="15">
        <f>'NET sell'!AU11</f>
        <v>0</v>
      </c>
      <c r="AX11" s="15">
        <f>'NET sell'!AV11</f>
        <v>0</v>
      </c>
      <c r="AY11" s="16">
        <f>'NET sell'!AW11</f>
        <v>0</v>
      </c>
    </row>
    <row r="12" spans="1:51">
      <c r="A12" s="14">
        <v>8</v>
      </c>
      <c r="B12" s="15">
        <f>ROUND('Check_netting_ETS_G&amp;P'!H12,1)</f>
        <v>112.4</v>
      </c>
      <c r="C12" s="15">
        <f>IF(B12=0,0,Config!$I$2)</f>
        <v>-5</v>
      </c>
      <c r="D12" s="15">
        <f>'NET sell'!B12</f>
        <v>35.6</v>
      </c>
      <c r="E12" s="15">
        <f>'NET sell'!C12</f>
        <v>-500</v>
      </c>
      <c r="F12" s="15">
        <f>'NET sell'!D12</f>
        <v>1.8</v>
      </c>
      <c r="G12" s="15">
        <f>'NET sell'!E12</f>
        <v>35</v>
      </c>
      <c r="H12" s="15">
        <f>'NET sell'!F12</f>
        <v>3.6</v>
      </c>
      <c r="I12" s="15">
        <f>'NET sell'!G12</f>
        <v>50</v>
      </c>
      <c r="J12" s="15">
        <f>'NET sell'!H12</f>
        <v>2</v>
      </c>
      <c r="K12" s="15">
        <f>'NET sell'!I12</f>
        <v>55</v>
      </c>
      <c r="L12" s="15">
        <f>'NET sell'!J12</f>
        <v>1.8</v>
      </c>
      <c r="M12" s="15">
        <f>'NET sell'!K12</f>
        <v>75</v>
      </c>
      <c r="N12" s="15">
        <f>'NET sell'!L12</f>
        <v>0.7</v>
      </c>
      <c r="O12" s="15">
        <f>'NET sell'!M12</f>
        <v>80</v>
      </c>
      <c r="P12" s="15">
        <f>'NET sell'!N12</f>
        <v>3.4</v>
      </c>
      <c r="Q12" s="15">
        <f>'NET sell'!O12</f>
        <v>99</v>
      </c>
      <c r="R12" s="15">
        <f>'NET sell'!P12</f>
        <v>1.1000000000000001</v>
      </c>
      <c r="S12" s="15">
        <f>'NET sell'!Q12</f>
        <v>100</v>
      </c>
      <c r="T12" s="15">
        <f>'NET sell'!R12</f>
        <v>0</v>
      </c>
      <c r="U12" s="15">
        <f>'NET sell'!S12</f>
        <v>0</v>
      </c>
      <c r="V12" s="15">
        <f>'NET sell'!T12</f>
        <v>0</v>
      </c>
      <c r="W12" s="15">
        <f>'NET sell'!U12</f>
        <v>0</v>
      </c>
      <c r="X12" s="15">
        <f>'NET sell'!V12</f>
        <v>0</v>
      </c>
      <c r="Y12" s="15">
        <f>'NET sell'!W12</f>
        <v>0</v>
      </c>
      <c r="Z12" s="15">
        <f>'NET sell'!X12</f>
        <v>0</v>
      </c>
      <c r="AA12" s="15">
        <f>'NET sell'!Y12</f>
        <v>0</v>
      </c>
      <c r="AB12" s="15">
        <f>'NET sell'!Z12</f>
        <v>0</v>
      </c>
      <c r="AC12" s="15">
        <f>'NET sell'!AA12</f>
        <v>0</v>
      </c>
      <c r="AD12" s="15">
        <f>'NET sell'!AB12</f>
        <v>0</v>
      </c>
      <c r="AE12" s="15">
        <f>'NET sell'!AC12</f>
        <v>0</v>
      </c>
      <c r="AF12" s="15">
        <f>'NET sell'!AD12</f>
        <v>0</v>
      </c>
      <c r="AG12" s="15">
        <f>'NET sell'!AE12</f>
        <v>0</v>
      </c>
      <c r="AH12" s="15">
        <f>'NET sell'!AF12</f>
        <v>0</v>
      </c>
      <c r="AI12" s="15">
        <f>'NET sell'!AG12</f>
        <v>0</v>
      </c>
      <c r="AJ12" s="15">
        <f>'NET sell'!AH12</f>
        <v>0</v>
      </c>
      <c r="AK12" s="15">
        <f>'NET sell'!AI12</f>
        <v>0</v>
      </c>
      <c r="AL12" s="15">
        <f>'NET sell'!AJ12</f>
        <v>0</v>
      </c>
      <c r="AM12" s="15">
        <f>'NET sell'!AK12</f>
        <v>0</v>
      </c>
      <c r="AN12" s="15">
        <f>'NET sell'!AL12</f>
        <v>0</v>
      </c>
      <c r="AO12" s="15">
        <f>'NET sell'!AM12</f>
        <v>0</v>
      </c>
      <c r="AP12" s="15">
        <f>'NET sell'!AN12</f>
        <v>0</v>
      </c>
      <c r="AQ12" s="15">
        <f>'NET sell'!AO12</f>
        <v>0</v>
      </c>
      <c r="AR12" s="15">
        <f>'NET sell'!AP12</f>
        <v>0</v>
      </c>
      <c r="AS12" s="15">
        <f>'NET sell'!AQ12</f>
        <v>0</v>
      </c>
      <c r="AT12" s="15">
        <f>'NET sell'!AR12</f>
        <v>0</v>
      </c>
      <c r="AU12" s="15">
        <f>'NET sell'!AS12</f>
        <v>0</v>
      </c>
      <c r="AV12" s="15">
        <f>'NET sell'!AT12</f>
        <v>0</v>
      </c>
      <c r="AW12" s="15">
        <f>'NET sell'!AU12</f>
        <v>0</v>
      </c>
      <c r="AX12" s="15">
        <f>'NET sell'!AV12</f>
        <v>0</v>
      </c>
      <c r="AY12" s="16">
        <f>'NET sell'!AW12</f>
        <v>0</v>
      </c>
    </row>
    <row r="13" spans="1:51">
      <c r="A13" s="14">
        <v>9</v>
      </c>
      <c r="B13" s="15">
        <f>ROUND('Check_netting_ETS_G&amp;P'!H13,1)</f>
        <v>107.2</v>
      </c>
      <c r="C13" s="15">
        <f>IF(B13=0,0,Config!$I$2)</f>
        <v>-5</v>
      </c>
      <c r="D13" s="15">
        <f>'NET sell'!B13</f>
        <v>38.1</v>
      </c>
      <c r="E13" s="15">
        <f>'NET sell'!C13</f>
        <v>-500</v>
      </c>
      <c r="F13" s="15">
        <f>'NET sell'!D13</f>
        <v>1.8</v>
      </c>
      <c r="G13" s="15">
        <f>'NET sell'!E13</f>
        <v>35</v>
      </c>
      <c r="H13" s="15">
        <f>'NET sell'!F13</f>
        <v>3.6</v>
      </c>
      <c r="I13" s="15">
        <f>'NET sell'!G13</f>
        <v>50</v>
      </c>
      <c r="J13" s="15">
        <f>'NET sell'!H13</f>
        <v>1.8</v>
      </c>
      <c r="K13" s="15">
        <f>'NET sell'!I13</f>
        <v>75</v>
      </c>
      <c r="L13" s="15">
        <f>'NET sell'!J13</f>
        <v>0.7</v>
      </c>
      <c r="M13" s="15">
        <f>'NET sell'!K13</f>
        <v>80</v>
      </c>
      <c r="N13" s="15">
        <f>'NET sell'!L13</f>
        <v>3.4</v>
      </c>
      <c r="O13" s="15">
        <f>'NET sell'!M13</f>
        <v>99</v>
      </c>
      <c r="P13" s="15">
        <f>'NET sell'!N13</f>
        <v>1.1000000000000001</v>
      </c>
      <c r="Q13" s="15">
        <f>'NET sell'!O13</f>
        <v>100</v>
      </c>
      <c r="R13" s="15">
        <f>'NET sell'!P13</f>
        <v>0</v>
      </c>
      <c r="S13" s="15">
        <f>'NET sell'!Q13</f>
        <v>0</v>
      </c>
      <c r="T13" s="15">
        <f>'NET sell'!R13</f>
        <v>0</v>
      </c>
      <c r="U13" s="15">
        <f>'NET sell'!S13</f>
        <v>0</v>
      </c>
      <c r="V13" s="15">
        <f>'NET sell'!T13</f>
        <v>0</v>
      </c>
      <c r="W13" s="15">
        <f>'NET sell'!U13</f>
        <v>0</v>
      </c>
      <c r="X13" s="15">
        <f>'NET sell'!V13</f>
        <v>0</v>
      </c>
      <c r="Y13" s="15">
        <f>'NET sell'!W13</f>
        <v>0</v>
      </c>
      <c r="Z13" s="15">
        <f>'NET sell'!X13</f>
        <v>0</v>
      </c>
      <c r="AA13" s="15">
        <f>'NET sell'!Y13</f>
        <v>0</v>
      </c>
      <c r="AB13" s="15">
        <f>'NET sell'!Z13</f>
        <v>0</v>
      </c>
      <c r="AC13" s="15">
        <f>'NET sell'!AA13</f>
        <v>0</v>
      </c>
      <c r="AD13" s="15">
        <f>'NET sell'!AB13</f>
        <v>0</v>
      </c>
      <c r="AE13" s="15">
        <f>'NET sell'!AC13</f>
        <v>0</v>
      </c>
      <c r="AF13" s="15">
        <f>'NET sell'!AD13</f>
        <v>0</v>
      </c>
      <c r="AG13" s="15">
        <f>'NET sell'!AE13</f>
        <v>0</v>
      </c>
      <c r="AH13" s="15">
        <f>'NET sell'!AF13</f>
        <v>0</v>
      </c>
      <c r="AI13" s="15">
        <f>'NET sell'!AG13</f>
        <v>0</v>
      </c>
      <c r="AJ13" s="15">
        <f>'NET sell'!AH13</f>
        <v>0</v>
      </c>
      <c r="AK13" s="15">
        <f>'NET sell'!AI13</f>
        <v>0</v>
      </c>
      <c r="AL13" s="15">
        <f>'NET sell'!AJ13</f>
        <v>0</v>
      </c>
      <c r="AM13" s="15">
        <f>'NET sell'!AK13</f>
        <v>0</v>
      </c>
      <c r="AN13" s="15">
        <f>'NET sell'!AL13</f>
        <v>0</v>
      </c>
      <c r="AO13" s="15">
        <f>'NET sell'!AM13</f>
        <v>0</v>
      </c>
      <c r="AP13" s="15">
        <f>'NET sell'!AN13</f>
        <v>0</v>
      </c>
      <c r="AQ13" s="15">
        <f>'NET sell'!AO13</f>
        <v>0</v>
      </c>
      <c r="AR13" s="15">
        <f>'NET sell'!AP13</f>
        <v>0</v>
      </c>
      <c r="AS13" s="15">
        <f>'NET sell'!AQ13</f>
        <v>0</v>
      </c>
      <c r="AT13" s="15">
        <f>'NET sell'!AR13</f>
        <v>0</v>
      </c>
      <c r="AU13" s="15">
        <f>'NET sell'!AS13</f>
        <v>0</v>
      </c>
      <c r="AV13" s="15">
        <f>'NET sell'!AT13</f>
        <v>0</v>
      </c>
      <c r="AW13" s="15">
        <f>'NET sell'!AU13</f>
        <v>0</v>
      </c>
      <c r="AX13" s="15">
        <f>'NET sell'!AV13</f>
        <v>0</v>
      </c>
      <c r="AY13" s="16">
        <f>'NET sell'!AW13</f>
        <v>0</v>
      </c>
    </row>
    <row r="14" spans="1:51">
      <c r="A14" s="14">
        <v>10</v>
      </c>
      <c r="B14" s="15">
        <f>ROUND('Check_netting_ETS_G&amp;P'!H14,1)</f>
        <v>121.5</v>
      </c>
      <c r="C14" s="15">
        <f>IF(B14=0,0,Config!$I$2)</f>
        <v>-5</v>
      </c>
      <c r="D14" s="15">
        <f>'NET sell'!B14</f>
        <v>38.9</v>
      </c>
      <c r="E14" s="15">
        <f>'NET sell'!C14</f>
        <v>-500</v>
      </c>
      <c r="F14" s="15">
        <f>'NET sell'!D14</f>
        <v>1.8</v>
      </c>
      <c r="G14" s="15">
        <f>'NET sell'!E14</f>
        <v>35</v>
      </c>
      <c r="H14" s="15">
        <f>'NET sell'!F14</f>
        <v>3.6</v>
      </c>
      <c r="I14" s="15">
        <f>'NET sell'!G14</f>
        <v>50</v>
      </c>
      <c r="J14" s="15">
        <f>'NET sell'!H14</f>
        <v>1.8</v>
      </c>
      <c r="K14" s="15">
        <f>'NET sell'!I14</f>
        <v>75</v>
      </c>
      <c r="L14" s="15">
        <f>'NET sell'!J14</f>
        <v>3.4</v>
      </c>
      <c r="M14" s="15">
        <f>'NET sell'!K14</f>
        <v>99</v>
      </c>
      <c r="N14" s="15">
        <f>'NET sell'!L14</f>
        <v>1.1000000000000001</v>
      </c>
      <c r="O14" s="15">
        <f>'NET sell'!M14</f>
        <v>100</v>
      </c>
      <c r="P14" s="15">
        <f>'NET sell'!N14</f>
        <v>0</v>
      </c>
      <c r="Q14" s="15">
        <f>'NET sell'!O14</f>
        <v>0</v>
      </c>
      <c r="R14" s="15">
        <f>'NET sell'!P14</f>
        <v>0</v>
      </c>
      <c r="S14" s="15">
        <f>'NET sell'!Q14</f>
        <v>0</v>
      </c>
      <c r="T14" s="15">
        <f>'NET sell'!R14</f>
        <v>0</v>
      </c>
      <c r="U14" s="15">
        <f>'NET sell'!S14</f>
        <v>0</v>
      </c>
      <c r="V14" s="15">
        <f>'NET sell'!T14</f>
        <v>0</v>
      </c>
      <c r="W14" s="15">
        <f>'NET sell'!U14</f>
        <v>0</v>
      </c>
      <c r="X14" s="15">
        <f>'NET sell'!V14</f>
        <v>0</v>
      </c>
      <c r="Y14" s="15">
        <f>'NET sell'!W14</f>
        <v>0</v>
      </c>
      <c r="Z14" s="15">
        <f>'NET sell'!X14</f>
        <v>0</v>
      </c>
      <c r="AA14" s="15">
        <f>'NET sell'!Y14</f>
        <v>0</v>
      </c>
      <c r="AB14" s="15">
        <f>'NET sell'!Z14</f>
        <v>0</v>
      </c>
      <c r="AC14" s="15">
        <f>'NET sell'!AA14</f>
        <v>0</v>
      </c>
      <c r="AD14" s="15">
        <f>'NET sell'!AB14</f>
        <v>0</v>
      </c>
      <c r="AE14" s="15">
        <f>'NET sell'!AC14</f>
        <v>0</v>
      </c>
      <c r="AF14" s="15">
        <f>'NET sell'!AD14</f>
        <v>0</v>
      </c>
      <c r="AG14" s="15">
        <f>'NET sell'!AE14</f>
        <v>0</v>
      </c>
      <c r="AH14" s="15">
        <f>'NET sell'!AF14</f>
        <v>0</v>
      </c>
      <c r="AI14" s="15">
        <f>'NET sell'!AG14</f>
        <v>0</v>
      </c>
      <c r="AJ14" s="15">
        <f>'NET sell'!AH14</f>
        <v>0</v>
      </c>
      <c r="AK14" s="15">
        <f>'NET sell'!AI14</f>
        <v>0</v>
      </c>
      <c r="AL14" s="15">
        <f>'NET sell'!AJ14</f>
        <v>0</v>
      </c>
      <c r="AM14" s="15">
        <f>'NET sell'!AK14</f>
        <v>0</v>
      </c>
      <c r="AN14" s="15">
        <f>'NET sell'!AL14</f>
        <v>0</v>
      </c>
      <c r="AO14" s="15">
        <f>'NET sell'!AM14</f>
        <v>0</v>
      </c>
      <c r="AP14" s="15">
        <f>'NET sell'!AN14</f>
        <v>0</v>
      </c>
      <c r="AQ14" s="15">
        <f>'NET sell'!AO14</f>
        <v>0</v>
      </c>
      <c r="AR14" s="15">
        <f>'NET sell'!AP14</f>
        <v>0</v>
      </c>
      <c r="AS14" s="15">
        <f>'NET sell'!AQ14</f>
        <v>0</v>
      </c>
      <c r="AT14" s="15">
        <f>'NET sell'!AR14</f>
        <v>0</v>
      </c>
      <c r="AU14" s="15">
        <f>'NET sell'!AS14</f>
        <v>0</v>
      </c>
      <c r="AV14" s="15">
        <f>'NET sell'!AT14</f>
        <v>0</v>
      </c>
      <c r="AW14" s="15">
        <f>'NET sell'!AU14</f>
        <v>0</v>
      </c>
      <c r="AX14" s="15">
        <f>'NET sell'!AV14</f>
        <v>0</v>
      </c>
      <c r="AY14" s="16">
        <f>'NET sell'!AW14</f>
        <v>0</v>
      </c>
    </row>
    <row r="15" spans="1:51">
      <c r="A15" s="14">
        <v>11</v>
      </c>
      <c r="B15" s="15">
        <f>ROUND('Check_netting_ETS_G&amp;P'!H15,1)</f>
        <v>112.4</v>
      </c>
      <c r="C15" s="15">
        <f>IF(B15=0,0,Config!$I$2)</f>
        <v>-5</v>
      </c>
      <c r="D15" s="15">
        <f>'NET sell'!B15</f>
        <v>38.9</v>
      </c>
      <c r="E15" s="15">
        <f>'NET sell'!C15</f>
        <v>-500</v>
      </c>
      <c r="F15" s="15">
        <f>'NET sell'!D15</f>
        <v>1.8</v>
      </c>
      <c r="G15" s="15">
        <f>'NET sell'!E15</f>
        <v>35</v>
      </c>
      <c r="H15" s="15">
        <f>'NET sell'!F15</f>
        <v>3.6</v>
      </c>
      <c r="I15" s="15">
        <f>'NET sell'!G15</f>
        <v>50</v>
      </c>
      <c r="J15" s="15">
        <f>'NET sell'!H15</f>
        <v>1.8</v>
      </c>
      <c r="K15" s="15">
        <f>'NET sell'!I15</f>
        <v>75</v>
      </c>
      <c r="L15" s="15">
        <f>'NET sell'!J15</f>
        <v>3.4</v>
      </c>
      <c r="M15" s="15">
        <f>'NET sell'!K15</f>
        <v>99</v>
      </c>
      <c r="N15" s="15">
        <f>'NET sell'!L15</f>
        <v>1.1000000000000001</v>
      </c>
      <c r="O15" s="15">
        <f>'NET sell'!M15</f>
        <v>100</v>
      </c>
      <c r="P15" s="15">
        <f>'NET sell'!N15</f>
        <v>0</v>
      </c>
      <c r="Q15" s="15">
        <f>'NET sell'!O15</f>
        <v>0</v>
      </c>
      <c r="R15" s="15">
        <f>'NET sell'!P15</f>
        <v>0</v>
      </c>
      <c r="S15" s="15">
        <f>'NET sell'!Q15</f>
        <v>0</v>
      </c>
      <c r="T15" s="15">
        <f>'NET sell'!R15</f>
        <v>0</v>
      </c>
      <c r="U15" s="15">
        <f>'NET sell'!S15</f>
        <v>0</v>
      </c>
      <c r="V15" s="15">
        <f>'NET sell'!T15</f>
        <v>0</v>
      </c>
      <c r="W15" s="15">
        <f>'NET sell'!U15</f>
        <v>0</v>
      </c>
      <c r="X15" s="15">
        <f>'NET sell'!V15</f>
        <v>0</v>
      </c>
      <c r="Y15" s="15">
        <f>'NET sell'!W15</f>
        <v>0</v>
      </c>
      <c r="Z15" s="15">
        <f>'NET sell'!X15</f>
        <v>0</v>
      </c>
      <c r="AA15" s="15">
        <f>'NET sell'!Y15</f>
        <v>0</v>
      </c>
      <c r="AB15" s="15">
        <f>'NET sell'!Z15</f>
        <v>0</v>
      </c>
      <c r="AC15" s="15">
        <f>'NET sell'!AA15</f>
        <v>0</v>
      </c>
      <c r="AD15" s="15">
        <f>'NET sell'!AB15</f>
        <v>0</v>
      </c>
      <c r="AE15" s="15">
        <f>'NET sell'!AC15</f>
        <v>0</v>
      </c>
      <c r="AF15" s="15">
        <f>'NET sell'!AD15</f>
        <v>0</v>
      </c>
      <c r="AG15" s="15">
        <f>'NET sell'!AE15</f>
        <v>0</v>
      </c>
      <c r="AH15" s="15">
        <f>'NET sell'!AF15</f>
        <v>0</v>
      </c>
      <c r="AI15" s="15">
        <f>'NET sell'!AG15</f>
        <v>0</v>
      </c>
      <c r="AJ15" s="15">
        <f>'NET sell'!AH15</f>
        <v>0</v>
      </c>
      <c r="AK15" s="15">
        <f>'NET sell'!AI15</f>
        <v>0</v>
      </c>
      <c r="AL15" s="15">
        <f>'NET sell'!AJ15</f>
        <v>0</v>
      </c>
      <c r="AM15" s="15">
        <f>'NET sell'!AK15</f>
        <v>0</v>
      </c>
      <c r="AN15" s="15">
        <f>'NET sell'!AL15</f>
        <v>0</v>
      </c>
      <c r="AO15" s="15">
        <f>'NET sell'!AM15</f>
        <v>0</v>
      </c>
      <c r="AP15" s="15">
        <f>'NET sell'!AN15</f>
        <v>0</v>
      </c>
      <c r="AQ15" s="15">
        <f>'NET sell'!AO15</f>
        <v>0</v>
      </c>
      <c r="AR15" s="15">
        <f>'NET sell'!AP15</f>
        <v>0</v>
      </c>
      <c r="AS15" s="15">
        <f>'NET sell'!AQ15</f>
        <v>0</v>
      </c>
      <c r="AT15" s="15">
        <f>'NET sell'!AR15</f>
        <v>0</v>
      </c>
      <c r="AU15" s="15">
        <f>'NET sell'!AS15</f>
        <v>0</v>
      </c>
      <c r="AV15" s="15">
        <f>'NET sell'!AT15</f>
        <v>0</v>
      </c>
      <c r="AW15" s="15">
        <f>'NET sell'!AU15</f>
        <v>0</v>
      </c>
      <c r="AX15" s="15">
        <f>'NET sell'!AV15</f>
        <v>0</v>
      </c>
      <c r="AY15" s="16">
        <f>'NET sell'!AW15</f>
        <v>0</v>
      </c>
    </row>
    <row r="16" spans="1:51">
      <c r="A16" s="14">
        <v>12</v>
      </c>
      <c r="B16" s="15">
        <f>ROUND('Check_netting_ETS_G&amp;P'!H16,1)</f>
        <v>105.2</v>
      </c>
      <c r="C16" s="15">
        <f>IF(B16=0,0,Config!$I$2)</f>
        <v>-5</v>
      </c>
      <c r="D16" s="15">
        <f>'NET sell'!B16</f>
        <v>38.9</v>
      </c>
      <c r="E16" s="15">
        <f>'NET sell'!C16</f>
        <v>-500</v>
      </c>
      <c r="F16" s="15">
        <f>'NET sell'!D16</f>
        <v>1.8</v>
      </c>
      <c r="G16" s="15">
        <f>'NET sell'!E16</f>
        <v>35</v>
      </c>
      <c r="H16" s="15">
        <f>'NET sell'!F16</f>
        <v>3.6</v>
      </c>
      <c r="I16" s="15">
        <f>'NET sell'!G16</f>
        <v>50</v>
      </c>
      <c r="J16" s="15">
        <f>'NET sell'!H16</f>
        <v>1.8</v>
      </c>
      <c r="K16" s="15">
        <f>'NET sell'!I16</f>
        <v>75</v>
      </c>
      <c r="L16" s="15">
        <f>'NET sell'!J16</f>
        <v>3.4</v>
      </c>
      <c r="M16" s="15">
        <f>'NET sell'!K16</f>
        <v>99</v>
      </c>
      <c r="N16" s="15">
        <f>'NET sell'!L16</f>
        <v>1.1000000000000001</v>
      </c>
      <c r="O16" s="15">
        <f>'NET sell'!M16</f>
        <v>100</v>
      </c>
      <c r="P16" s="15">
        <f>'NET sell'!N16</f>
        <v>0</v>
      </c>
      <c r="Q16" s="15">
        <f>'NET sell'!O16</f>
        <v>0</v>
      </c>
      <c r="R16" s="15">
        <f>'NET sell'!P16</f>
        <v>0</v>
      </c>
      <c r="S16" s="15">
        <f>'NET sell'!Q16</f>
        <v>0</v>
      </c>
      <c r="T16" s="15">
        <f>'NET sell'!R16</f>
        <v>0</v>
      </c>
      <c r="U16" s="15">
        <f>'NET sell'!S16</f>
        <v>0</v>
      </c>
      <c r="V16" s="15">
        <f>'NET sell'!T16</f>
        <v>0</v>
      </c>
      <c r="W16" s="15">
        <f>'NET sell'!U16</f>
        <v>0</v>
      </c>
      <c r="X16" s="15">
        <f>'NET sell'!V16</f>
        <v>0</v>
      </c>
      <c r="Y16" s="15">
        <f>'NET sell'!W16</f>
        <v>0</v>
      </c>
      <c r="Z16" s="15">
        <f>'NET sell'!X16</f>
        <v>0</v>
      </c>
      <c r="AA16" s="15">
        <f>'NET sell'!Y16</f>
        <v>0</v>
      </c>
      <c r="AB16" s="15">
        <f>'NET sell'!Z16</f>
        <v>0</v>
      </c>
      <c r="AC16" s="15">
        <f>'NET sell'!AA16</f>
        <v>0</v>
      </c>
      <c r="AD16" s="15">
        <f>'NET sell'!AB16</f>
        <v>0</v>
      </c>
      <c r="AE16" s="15">
        <f>'NET sell'!AC16</f>
        <v>0</v>
      </c>
      <c r="AF16" s="15">
        <f>'NET sell'!AD16</f>
        <v>0</v>
      </c>
      <c r="AG16" s="15">
        <f>'NET sell'!AE16</f>
        <v>0</v>
      </c>
      <c r="AH16" s="15">
        <f>'NET sell'!AF16</f>
        <v>0</v>
      </c>
      <c r="AI16" s="15">
        <f>'NET sell'!AG16</f>
        <v>0</v>
      </c>
      <c r="AJ16" s="15">
        <f>'NET sell'!AH16</f>
        <v>0</v>
      </c>
      <c r="AK16" s="15">
        <f>'NET sell'!AI16</f>
        <v>0</v>
      </c>
      <c r="AL16" s="15">
        <f>'NET sell'!AJ16</f>
        <v>0</v>
      </c>
      <c r="AM16" s="15">
        <f>'NET sell'!AK16</f>
        <v>0</v>
      </c>
      <c r="AN16" s="15">
        <f>'NET sell'!AL16</f>
        <v>0</v>
      </c>
      <c r="AO16" s="15">
        <f>'NET sell'!AM16</f>
        <v>0</v>
      </c>
      <c r="AP16" s="15">
        <f>'NET sell'!AN16</f>
        <v>0</v>
      </c>
      <c r="AQ16" s="15">
        <f>'NET sell'!AO16</f>
        <v>0</v>
      </c>
      <c r="AR16" s="15">
        <f>'NET sell'!AP16</f>
        <v>0</v>
      </c>
      <c r="AS16" s="15">
        <f>'NET sell'!AQ16</f>
        <v>0</v>
      </c>
      <c r="AT16" s="15">
        <f>'NET sell'!AR16</f>
        <v>0</v>
      </c>
      <c r="AU16" s="15">
        <f>'NET sell'!AS16</f>
        <v>0</v>
      </c>
      <c r="AV16" s="15">
        <f>'NET sell'!AT16</f>
        <v>0</v>
      </c>
      <c r="AW16" s="15">
        <f>'NET sell'!AU16</f>
        <v>0</v>
      </c>
      <c r="AX16" s="15">
        <f>'NET sell'!AV16</f>
        <v>0</v>
      </c>
      <c r="AY16" s="16">
        <f>'NET sell'!AW16</f>
        <v>0</v>
      </c>
    </row>
    <row r="17" spans="1:51">
      <c r="A17" s="14">
        <v>13</v>
      </c>
      <c r="B17" s="15">
        <f>ROUND('Check_netting_ETS_G&amp;P'!H17,1)</f>
        <v>108.9</v>
      </c>
      <c r="C17" s="15">
        <f>IF(B17=0,0,Config!$I$2)</f>
        <v>-5</v>
      </c>
      <c r="D17" s="15">
        <f>'NET sell'!B17</f>
        <v>38.9</v>
      </c>
      <c r="E17" s="15">
        <f>'NET sell'!C17</f>
        <v>-500</v>
      </c>
      <c r="F17" s="15">
        <f>'NET sell'!D17</f>
        <v>1.8</v>
      </c>
      <c r="G17" s="15">
        <f>'NET sell'!E17</f>
        <v>35</v>
      </c>
      <c r="H17" s="15">
        <f>'NET sell'!F17</f>
        <v>3.6</v>
      </c>
      <c r="I17" s="15">
        <f>'NET sell'!G17</f>
        <v>50</v>
      </c>
      <c r="J17" s="15">
        <f>'NET sell'!H17</f>
        <v>1.8</v>
      </c>
      <c r="K17" s="15">
        <f>'NET sell'!I17</f>
        <v>75</v>
      </c>
      <c r="L17" s="15">
        <f>'NET sell'!J17</f>
        <v>3.4</v>
      </c>
      <c r="M17" s="15">
        <f>'NET sell'!K17</f>
        <v>99</v>
      </c>
      <c r="N17" s="15">
        <f>'NET sell'!L17</f>
        <v>1.1000000000000001</v>
      </c>
      <c r="O17" s="15">
        <f>'NET sell'!M17</f>
        <v>100</v>
      </c>
      <c r="P17" s="15">
        <f>'NET sell'!N17</f>
        <v>0</v>
      </c>
      <c r="Q17" s="15">
        <f>'NET sell'!O17</f>
        <v>0</v>
      </c>
      <c r="R17" s="15">
        <f>'NET sell'!P17</f>
        <v>0</v>
      </c>
      <c r="S17" s="15">
        <f>'NET sell'!Q17</f>
        <v>0</v>
      </c>
      <c r="T17" s="15">
        <f>'NET sell'!R17</f>
        <v>0</v>
      </c>
      <c r="U17" s="15">
        <f>'NET sell'!S17</f>
        <v>0</v>
      </c>
      <c r="V17" s="15">
        <f>'NET sell'!T17</f>
        <v>0</v>
      </c>
      <c r="W17" s="15">
        <f>'NET sell'!U17</f>
        <v>0</v>
      </c>
      <c r="X17" s="15">
        <f>'NET sell'!V17</f>
        <v>0</v>
      </c>
      <c r="Y17" s="15">
        <f>'NET sell'!W17</f>
        <v>0</v>
      </c>
      <c r="Z17" s="15">
        <f>'NET sell'!X17</f>
        <v>0</v>
      </c>
      <c r="AA17" s="15">
        <f>'NET sell'!Y17</f>
        <v>0</v>
      </c>
      <c r="AB17" s="15">
        <f>'NET sell'!Z17</f>
        <v>0</v>
      </c>
      <c r="AC17" s="15">
        <f>'NET sell'!AA17</f>
        <v>0</v>
      </c>
      <c r="AD17" s="15">
        <f>'NET sell'!AB17</f>
        <v>0</v>
      </c>
      <c r="AE17" s="15">
        <f>'NET sell'!AC17</f>
        <v>0</v>
      </c>
      <c r="AF17" s="15">
        <f>'NET sell'!AD17</f>
        <v>0</v>
      </c>
      <c r="AG17" s="15">
        <f>'NET sell'!AE17</f>
        <v>0</v>
      </c>
      <c r="AH17" s="15">
        <f>'NET sell'!AF17</f>
        <v>0</v>
      </c>
      <c r="AI17" s="15">
        <f>'NET sell'!AG17</f>
        <v>0</v>
      </c>
      <c r="AJ17" s="15">
        <f>'NET sell'!AH17</f>
        <v>0</v>
      </c>
      <c r="AK17" s="15">
        <f>'NET sell'!AI17</f>
        <v>0</v>
      </c>
      <c r="AL17" s="15">
        <f>'NET sell'!AJ17</f>
        <v>0</v>
      </c>
      <c r="AM17" s="15">
        <f>'NET sell'!AK17</f>
        <v>0</v>
      </c>
      <c r="AN17" s="15">
        <f>'NET sell'!AL17</f>
        <v>0</v>
      </c>
      <c r="AO17" s="15">
        <f>'NET sell'!AM17</f>
        <v>0</v>
      </c>
      <c r="AP17" s="15">
        <f>'NET sell'!AN17</f>
        <v>0</v>
      </c>
      <c r="AQ17" s="15">
        <f>'NET sell'!AO17</f>
        <v>0</v>
      </c>
      <c r="AR17" s="15">
        <f>'NET sell'!AP17</f>
        <v>0</v>
      </c>
      <c r="AS17" s="15">
        <f>'NET sell'!AQ17</f>
        <v>0</v>
      </c>
      <c r="AT17" s="15">
        <f>'NET sell'!AR17</f>
        <v>0</v>
      </c>
      <c r="AU17" s="15">
        <f>'NET sell'!AS17</f>
        <v>0</v>
      </c>
      <c r="AV17" s="15">
        <f>'NET sell'!AT17</f>
        <v>0</v>
      </c>
      <c r="AW17" s="15">
        <f>'NET sell'!AU17</f>
        <v>0</v>
      </c>
      <c r="AX17" s="15">
        <f>'NET sell'!AV17</f>
        <v>0</v>
      </c>
      <c r="AY17" s="16">
        <f>'NET sell'!AW17</f>
        <v>0</v>
      </c>
    </row>
    <row r="18" spans="1:51">
      <c r="A18" s="14">
        <v>14</v>
      </c>
      <c r="B18" s="15">
        <f>ROUND('Check_netting_ETS_G&amp;P'!H18,1)</f>
        <v>102</v>
      </c>
      <c r="C18" s="15">
        <f>IF(B18=0,0,Config!$I$2)</f>
        <v>-5</v>
      </c>
      <c r="D18" s="15">
        <f>'NET sell'!B18</f>
        <v>38.9</v>
      </c>
      <c r="E18" s="15">
        <f>'NET sell'!C18</f>
        <v>-500</v>
      </c>
      <c r="F18" s="15">
        <f>'NET sell'!D18</f>
        <v>1.8</v>
      </c>
      <c r="G18" s="15">
        <f>'NET sell'!E18</f>
        <v>35</v>
      </c>
      <c r="H18" s="15">
        <f>'NET sell'!F18</f>
        <v>3.6</v>
      </c>
      <c r="I18" s="15">
        <f>'NET sell'!G18</f>
        <v>50</v>
      </c>
      <c r="J18" s="15">
        <f>'NET sell'!H18</f>
        <v>1.8</v>
      </c>
      <c r="K18" s="15">
        <f>'NET sell'!I18</f>
        <v>75</v>
      </c>
      <c r="L18" s="15">
        <f>'NET sell'!J18</f>
        <v>3.4</v>
      </c>
      <c r="M18" s="15">
        <f>'NET sell'!K18</f>
        <v>99</v>
      </c>
      <c r="N18" s="15">
        <f>'NET sell'!L18</f>
        <v>1.1000000000000001</v>
      </c>
      <c r="O18" s="15">
        <f>'NET sell'!M18</f>
        <v>100</v>
      </c>
      <c r="P18" s="15">
        <f>'NET sell'!N18</f>
        <v>0</v>
      </c>
      <c r="Q18" s="15">
        <f>'NET sell'!O18</f>
        <v>0</v>
      </c>
      <c r="R18" s="15">
        <f>'NET sell'!P18</f>
        <v>0</v>
      </c>
      <c r="S18" s="15">
        <f>'NET sell'!Q18</f>
        <v>0</v>
      </c>
      <c r="T18" s="15">
        <f>'NET sell'!R18</f>
        <v>0</v>
      </c>
      <c r="U18" s="15">
        <f>'NET sell'!S18</f>
        <v>0</v>
      </c>
      <c r="V18" s="15">
        <f>'NET sell'!T18</f>
        <v>0</v>
      </c>
      <c r="W18" s="15">
        <f>'NET sell'!U18</f>
        <v>0</v>
      </c>
      <c r="X18" s="15">
        <f>'NET sell'!V18</f>
        <v>0</v>
      </c>
      <c r="Y18" s="15">
        <f>'NET sell'!W18</f>
        <v>0</v>
      </c>
      <c r="Z18" s="15">
        <f>'NET sell'!X18</f>
        <v>0</v>
      </c>
      <c r="AA18" s="15">
        <f>'NET sell'!Y18</f>
        <v>0</v>
      </c>
      <c r="AB18" s="15">
        <f>'NET sell'!Z18</f>
        <v>0</v>
      </c>
      <c r="AC18" s="15">
        <f>'NET sell'!AA18</f>
        <v>0</v>
      </c>
      <c r="AD18" s="15">
        <f>'NET sell'!AB18</f>
        <v>0</v>
      </c>
      <c r="AE18" s="15">
        <f>'NET sell'!AC18</f>
        <v>0</v>
      </c>
      <c r="AF18" s="15">
        <f>'NET sell'!AD18</f>
        <v>0</v>
      </c>
      <c r="AG18" s="15">
        <f>'NET sell'!AE18</f>
        <v>0</v>
      </c>
      <c r="AH18" s="15">
        <f>'NET sell'!AF18</f>
        <v>0</v>
      </c>
      <c r="AI18" s="15">
        <f>'NET sell'!AG18</f>
        <v>0</v>
      </c>
      <c r="AJ18" s="15">
        <f>'NET sell'!AH18</f>
        <v>0</v>
      </c>
      <c r="AK18" s="15">
        <f>'NET sell'!AI18</f>
        <v>0</v>
      </c>
      <c r="AL18" s="15">
        <f>'NET sell'!AJ18</f>
        <v>0</v>
      </c>
      <c r="AM18" s="15">
        <f>'NET sell'!AK18</f>
        <v>0</v>
      </c>
      <c r="AN18" s="15">
        <f>'NET sell'!AL18</f>
        <v>0</v>
      </c>
      <c r="AO18" s="15">
        <f>'NET sell'!AM18</f>
        <v>0</v>
      </c>
      <c r="AP18" s="15">
        <f>'NET sell'!AN18</f>
        <v>0</v>
      </c>
      <c r="AQ18" s="15">
        <f>'NET sell'!AO18</f>
        <v>0</v>
      </c>
      <c r="AR18" s="15">
        <f>'NET sell'!AP18</f>
        <v>0</v>
      </c>
      <c r="AS18" s="15">
        <f>'NET sell'!AQ18</f>
        <v>0</v>
      </c>
      <c r="AT18" s="15">
        <f>'NET sell'!AR18</f>
        <v>0</v>
      </c>
      <c r="AU18" s="15">
        <f>'NET sell'!AS18</f>
        <v>0</v>
      </c>
      <c r="AV18" s="15">
        <f>'NET sell'!AT18</f>
        <v>0</v>
      </c>
      <c r="AW18" s="15">
        <f>'NET sell'!AU18</f>
        <v>0</v>
      </c>
      <c r="AX18" s="15">
        <f>'NET sell'!AV18</f>
        <v>0</v>
      </c>
      <c r="AY18" s="16">
        <f>'NET sell'!AW18</f>
        <v>0</v>
      </c>
    </row>
    <row r="19" spans="1:51">
      <c r="A19" s="14">
        <v>15</v>
      </c>
      <c r="B19" s="15">
        <f>ROUND('Check_netting_ETS_G&amp;P'!H19,1)</f>
        <v>95.3</v>
      </c>
      <c r="C19" s="15">
        <f>IF(B19=0,0,Config!$I$2)</f>
        <v>-5</v>
      </c>
      <c r="D19" s="15">
        <f>'NET sell'!B19</f>
        <v>38.9</v>
      </c>
      <c r="E19" s="15">
        <f>'NET sell'!C19</f>
        <v>-500</v>
      </c>
      <c r="F19" s="15">
        <f>'NET sell'!D19</f>
        <v>1.8</v>
      </c>
      <c r="G19" s="15">
        <f>'NET sell'!E19</f>
        <v>35</v>
      </c>
      <c r="H19" s="15">
        <f>'NET sell'!F19</f>
        <v>3.6</v>
      </c>
      <c r="I19" s="15">
        <f>'NET sell'!G19</f>
        <v>50</v>
      </c>
      <c r="J19" s="15">
        <f>'NET sell'!H19</f>
        <v>1.8</v>
      </c>
      <c r="K19" s="15">
        <f>'NET sell'!I19</f>
        <v>75</v>
      </c>
      <c r="L19" s="15">
        <f>'NET sell'!J19</f>
        <v>3.4</v>
      </c>
      <c r="M19" s="15">
        <f>'NET sell'!K19</f>
        <v>99</v>
      </c>
      <c r="N19" s="15">
        <f>'NET sell'!L19</f>
        <v>1.1000000000000001</v>
      </c>
      <c r="O19" s="15">
        <f>'NET sell'!M19</f>
        <v>100</v>
      </c>
      <c r="P19" s="15">
        <f>'NET sell'!N19</f>
        <v>0</v>
      </c>
      <c r="Q19" s="15">
        <f>'NET sell'!O19</f>
        <v>0</v>
      </c>
      <c r="R19" s="15">
        <f>'NET sell'!P19</f>
        <v>0</v>
      </c>
      <c r="S19" s="15">
        <f>'NET sell'!Q19</f>
        <v>0</v>
      </c>
      <c r="T19" s="15">
        <f>'NET sell'!R19</f>
        <v>0</v>
      </c>
      <c r="U19" s="15">
        <f>'NET sell'!S19</f>
        <v>0</v>
      </c>
      <c r="V19" s="15">
        <f>'NET sell'!T19</f>
        <v>0</v>
      </c>
      <c r="W19" s="15">
        <f>'NET sell'!U19</f>
        <v>0</v>
      </c>
      <c r="X19" s="15">
        <f>'NET sell'!V19</f>
        <v>0</v>
      </c>
      <c r="Y19" s="15">
        <f>'NET sell'!W19</f>
        <v>0</v>
      </c>
      <c r="Z19" s="15">
        <f>'NET sell'!X19</f>
        <v>0</v>
      </c>
      <c r="AA19" s="15">
        <f>'NET sell'!Y19</f>
        <v>0</v>
      </c>
      <c r="AB19" s="15">
        <f>'NET sell'!Z19</f>
        <v>0</v>
      </c>
      <c r="AC19" s="15">
        <f>'NET sell'!AA19</f>
        <v>0</v>
      </c>
      <c r="AD19" s="15">
        <f>'NET sell'!AB19</f>
        <v>0</v>
      </c>
      <c r="AE19" s="15">
        <f>'NET sell'!AC19</f>
        <v>0</v>
      </c>
      <c r="AF19" s="15">
        <f>'NET sell'!AD19</f>
        <v>0</v>
      </c>
      <c r="AG19" s="15">
        <f>'NET sell'!AE19</f>
        <v>0</v>
      </c>
      <c r="AH19" s="15">
        <f>'NET sell'!AF19</f>
        <v>0</v>
      </c>
      <c r="AI19" s="15">
        <f>'NET sell'!AG19</f>
        <v>0</v>
      </c>
      <c r="AJ19" s="15">
        <f>'NET sell'!AH19</f>
        <v>0</v>
      </c>
      <c r="AK19" s="15">
        <f>'NET sell'!AI19</f>
        <v>0</v>
      </c>
      <c r="AL19" s="15">
        <f>'NET sell'!AJ19</f>
        <v>0</v>
      </c>
      <c r="AM19" s="15">
        <f>'NET sell'!AK19</f>
        <v>0</v>
      </c>
      <c r="AN19" s="15">
        <f>'NET sell'!AL19</f>
        <v>0</v>
      </c>
      <c r="AO19" s="15">
        <f>'NET sell'!AM19</f>
        <v>0</v>
      </c>
      <c r="AP19" s="15">
        <f>'NET sell'!AN19</f>
        <v>0</v>
      </c>
      <c r="AQ19" s="15">
        <f>'NET sell'!AO19</f>
        <v>0</v>
      </c>
      <c r="AR19" s="15">
        <f>'NET sell'!AP19</f>
        <v>0</v>
      </c>
      <c r="AS19" s="15">
        <f>'NET sell'!AQ19</f>
        <v>0</v>
      </c>
      <c r="AT19" s="15">
        <f>'NET sell'!AR19</f>
        <v>0</v>
      </c>
      <c r="AU19" s="15">
        <f>'NET sell'!AS19</f>
        <v>0</v>
      </c>
      <c r="AV19" s="15">
        <f>'NET sell'!AT19</f>
        <v>0</v>
      </c>
      <c r="AW19" s="15">
        <f>'NET sell'!AU19</f>
        <v>0</v>
      </c>
      <c r="AX19" s="15">
        <f>'NET sell'!AV19</f>
        <v>0</v>
      </c>
      <c r="AY19" s="16">
        <f>'NET sell'!AW19</f>
        <v>0</v>
      </c>
    </row>
    <row r="20" spans="1:51">
      <c r="A20" s="14">
        <v>16</v>
      </c>
      <c r="B20" s="15">
        <f>ROUND('Check_netting_ETS_G&amp;P'!H20,1)</f>
        <v>100.7</v>
      </c>
      <c r="C20" s="15">
        <f>IF(B20=0,0,Config!$I$2)</f>
        <v>-5</v>
      </c>
      <c r="D20" s="15">
        <f>'NET sell'!B20</f>
        <v>38.9</v>
      </c>
      <c r="E20" s="15">
        <f>'NET sell'!C20</f>
        <v>-500</v>
      </c>
      <c r="F20" s="15">
        <f>'NET sell'!D20</f>
        <v>1.8</v>
      </c>
      <c r="G20" s="15">
        <f>'NET sell'!E20</f>
        <v>35</v>
      </c>
      <c r="H20" s="15">
        <f>'NET sell'!F20</f>
        <v>3.6</v>
      </c>
      <c r="I20" s="15">
        <f>'NET sell'!G20</f>
        <v>50</v>
      </c>
      <c r="J20" s="15">
        <f>'NET sell'!H20</f>
        <v>1.8</v>
      </c>
      <c r="K20" s="15">
        <f>'NET sell'!I20</f>
        <v>75</v>
      </c>
      <c r="L20" s="15">
        <f>'NET sell'!J20</f>
        <v>3.4</v>
      </c>
      <c r="M20" s="15">
        <f>'NET sell'!K20</f>
        <v>99</v>
      </c>
      <c r="N20" s="15">
        <f>'NET sell'!L20</f>
        <v>1.1000000000000001</v>
      </c>
      <c r="O20" s="15">
        <f>'NET sell'!M20</f>
        <v>100</v>
      </c>
      <c r="P20" s="15">
        <f>'NET sell'!N20</f>
        <v>0</v>
      </c>
      <c r="Q20" s="15">
        <f>'NET sell'!O20</f>
        <v>0</v>
      </c>
      <c r="R20" s="15">
        <f>'NET sell'!P20</f>
        <v>0</v>
      </c>
      <c r="S20" s="15">
        <f>'NET sell'!Q20</f>
        <v>0</v>
      </c>
      <c r="T20" s="15">
        <f>'NET sell'!R20</f>
        <v>0</v>
      </c>
      <c r="U20" s="15">
        <f>'NET sell'!S20</f>
        <v>0</v>
      </c>
      <c r="V20" s="15">
        <f>'NET sell'!T20</f>
        <v>0</v>
      </c>
      <c r="W20" s="15">
        <f>'NET sell'!U20</f>
        <v>0</v>
      </c>
      <c r="X20" s="15">
        <f>'NET sell'!V20</f>
        <v>0</v>
      </c>
      <c r="Y20" s="15">
        <f>'NET sell'!W20</f>
        <v>0</v>
      </c>
      <c r="Z20" s="15">
        <f>'NET sell'!X20</f>
        <v>0</v>
      </c>
      <c r="AA20" s="15">
        <f>'NET sell'!Y20</f>
        <v>0</v>
      </c>
      <c r="AB20" s="15">
        <f>'NET sell'!Z20</f>
        <v>0</v>
      </c>
      <c r="AC20" s="15">
        <f>'NET sell'!AA20</f>
        <v>0</v>
      </c>
      <c r="AD20" s="15">
        <f>'NET sell'!AB20</f>
        <v>0</v>
      </c>
      <c r="AE20" s="15">
        <f>'NET sell'!AC20</f>
        <v>0</v>
      </c>
      <c r="AF20" s="15">
        <f>'NET sell'!AD20</f>
        <v>0</v>
      </c>
      <c r="AG20" s="15">
        <f>'NET sell'!AE20</f>
        <v>0</v>
      </c>
      <c r="AH20" s="15">
        <f>'NET sell'!AF20</f>
        <v>0</v>
      </c>
      <c r="AI20" s="15">
        <f>'NET sell'!AG20</f>
        <v>0</v>
      </c>
      <c r="AJ20" s="15">
        <f>'NET sell'!AH20</f>
        <v>0</v>
      </c>
      <c r="AK20" s="15">
        <f>'NET sell'!AI20</f>
        <v>0</v>
      </c>
      <c r="AL20" s="15">
        <f>'NET sell'!AJ20</f>
        <v>0</v>
      </c>
      <c r="AM20" s="15">
        <f>'NET sell'!AK20</f>
        <v>0</v>
      </c>
      <c r="AN20" s="15">
        <f>'NET sell'!AL20</f>
        <v>0</v>
      </c>
      <c r="AO20" s="15">
        <f>'NET sell'!AM20</f>
        <v>0</v>
      </c>
      <c r="AP20" s="15">
        <f>'NET sell'!AN20</f>
        <v>0</v>
      </c>
      <c r="AQ20" s="15">
        <f>'NET sell'!AO20</f>
        <v>0</v>
      </c>
      <c r="AR20" s="15">
        <f>'NET sell'!AP20</f>
        <v>0</v>
      </c>
      <c r="AS20" s="15">
        <f>'NET sell'!AQ20</f>
        <v>0</v>
      </c>
      <c r="AT20" s="15">
        <f>'NET sell'!AR20</f>
        <v>0</v>
      </c>
      <c r="AU20" s="15">
        <f>'NET sell'!AS20</f>
        <v>0</v>
      </c>
      <c r="AV20" s="15">
        <f>'NET sell'!AT20</f>
        <v>0</v>
      </c>
      <c r="AW20" s="15">
        <f>'NET sell'!AU20</f>
        <v>0</v>
      </c>
      <c r="AX20" s="15">
        <f>'NET sell'!AV20</f>
        <v>0</v>
      </c>
      <c r="AY20" s="16">
        <f>'NET sell'!AW20</f>
        <v>0</v>
      </c>
    </row>
    <row r="21" spans="1:51">
      <c r="A21" s="14">
        <v>17</v>
      </c>
      <c r="B21" s="15">
        <f>ROUND('Check_netting_ETS_G&amp;P'!H21,1)</f>
        <v>116.1</v>
      </c>
      <c r="C21" s="15">
        <f>IF(B21=0,0,Config!$I$2)</f>
        <v>-5</v>
      </c>
      <c r="D21" s="15">
        <f>'NET sell'!B21</f>
        <v>38.200000000000003</v>
      </c>
      <c r="E21" s="15">
        <f>'NET sell'!C21</f>
        <v>-500</v>
      </c>
      <c r="F21" s="15">
        <f>'NET sell'!D21</f>
        <v>1.8</v>
      </c>
      <c r="G21" s="15">
        <f>'NET sell'!E21</f>
        <v>35</v>
      </c>
      <c r="H21" s="15">
        <f>'NET sell'!F21</f>
        <v>3.6</v>
      </c>
      <c r="I21" s="15">
        <f>'NET sell'!G21</f>
        <v>50</v>
      </c>
      <c r="J21" s="15">
        <f>'NET sell'!H21</f>
        <v>0.7</v>
      </c>
      <c r="K21" s="15">
        <f>'NET sell'!I21</f>
        <v>70</v>
      </c>
      <c r="L21" s="15">
        <f>'NET sell'!J21</f>
        <v>1.8</v>
      </c>
      <c r="M21" s="15">
        <f>'NET sell'!K21</f>
        <v>75</v>
      </c>
      <c r="N21" s="15">
        <f>'NET sell'!L21</f>
        <v>3.4</v>
      </c>
      <c r="O21" s="15">
        <f>'NET sell'!M21</f>
        <v>99</v>
      </c>
      <c r="P21" s="15">
        <f>'NET sell'!N21</f>
        <v>1.1000000000000001</v>
      </c>
      <c r="Q21" s="15">
        <f>'NET sell'!O21</f>
        <v>100</v>
      </c>
      <c r="R21" s="15">
        <f>'NET sell'!P21</f>
        <v>0</v>
      </c>
      <c r="S21" s="15">
        <f>'NET sell'!Q21</f>
        <v>0</v>
      </c>
      <c r="T21" s="15">
        <f>'NET sell'!R21</f>
        <v>0</v>
      </c>
      <c r="U21" s="15">
        <f>'NET sell'!S21</f>
        <v>0</v>
      </c>
      <c r="V21" s="15">
        <f>'NET sell'!T21</f>
        <v>0</v>
      </c>
      <c r="W21" s="15">
        <f>'NET sell'!U21</f>
        <v>0</v>
      </c>
      <c r="X21" s="15">
        <f>'NET sell'!V21</f>
        <v>0</v>
      </c>
      <c r="Y21" s="15">
        <f>'NET sell'!W21</f>
        <v>0</v>
      </c>
      <c r="Z21" s="15">
        <f>'NET sell'!X21</f>
        <v>0</v>
      </c>
      <c r="AA21" s="15">
        <f>'NET sell'!Y21</f>
        <v>0</v>
      </c>
      <c r="AB21" s="15">
        <f>'NET sell'!Z21</f>
        <v>0</v>
      </c>
      <c r="AC21" s="15">
        <f>'NET sell'!AA21</f>
        <v>0</v>
      </c>
      <c r="AD21" s="15">
        <f>'NET sell'!AB21</f>
        <v>0</v>
      </c>
      <c r="AE21" s="15">
        <f>'NET sell'!AC21</f>
        <v>0</v>
      </c>
      <c r="AF21" s="15">
        <f>'NET sell'!AD21</f>
        <v>0</v>
      </c>
      <c r="AG21" s="15">
        <f>'NET sell'!AE21</f>
        <v>0</v>
      </c>
      <c r="AH21" s="15">
        <f>'NET sell'!AF21</f>
        <v>0</v>
      </c>
      <c r="AI21" s="15">
        <f>'NET sell'!AG21</f>
        <v>0</v>
      </c>
      <c r="AJ21" s="15">
        <f>'NET sell'!AH21</f>
        <v>0</v>
      </c>
      <c r="AK21" s="15">
        <f>'NET sell'!AI21</f>
        <v>0</v>
      </c>
      <c r="AL21" s="15">
        <f>'NET sell'!AJ21</f>
        <v>0</v>
      </c>
      <c r="AM21" s="15">
        <f>'NET sell'!AK21</f>
        <v>0</v>
      </c>
      <c r="AN21" s="15">
        <f>'NET sell'!AL21</f>
        <v>0</v>
      </c>
      <c r="AO21" s="15">
        <f>'NET sell'!AM21</f>
        <v>0</v>
      </c>
      <c r="AP21" s="15">
        <f>'NET sell'!AN21</f>
        <v>0</v>
      </c>
      <c r="AQ21" s="15">
        <f>'NET sell'!AO21</f>
        <v>0</v>
      </c>
      <c r="AR21" s="15">
        <f>'NET sell'!AP21</f>
        <v>0</v>
      </c>
      <c r="AS21" s="15">
        <f>'NET sell'!AQ21</f>
        <v>0</v>
      </c>
      <c r="AT21" s="15">
        <f>'NET sell'!AR21</f>
        <v>0</v>
      </c>
      <c r="AU21" s="15">
        <f>'NET sell'!AS21</f>
        <v>0</v>
      </c>
      <c r="AV21" s="15">
        <f>'NET sell'!AT21</f>
        <v>0</v>
      </c>
      <c r="AW21" s="15">
        <f>'NET sell'!AU21</f>
        <v>0</v>
      </c>
      <c r="AX21" s="15">
        <f>'NET sell'!AV21</f>
        <v>0</v>
      </c>
      <c r="AY21" s="16">
        <f>'NET sell'!AW21</f>
        <v>0</v>
      </c>
    </row>
    <row r="22" spans="1:51">
      <c r="A22" s="14">
        <v>18</v>
      </c>
      <c r="B22" s="15">
        <f>ROUND('Check_netting_ETS_G&amp;P'!H22,1)</f>
        <v>114</v>
      </c>
      <c r="C22" s="15">
        <f>IF(B22=0,0,Config!$I$2)</f>
        <v>-5</v>
      </c>
      <c r="D22" s="15">
        <f>'NET sell'!B22</f>
        <v>38.200000000000003</v>
      </c>
      <c r="E22" s="15">
        <f>'NET sell'!C22</f>
        <v>-500</v>
      </c>
      <c r="F22" s="15">
        <f>'NET sell'!D22</f>
        <v>1.8</v>
      </c>
      <c r="G22" s="15">
        <f>'NET sell'!E22</f>
        <v>35</v>
      </c>
      <c r="H22" s="15">
        <f>'NET sell'!F22</f>
        <v>3.6</v>
      </c>
      <c r="I22" s="15">
        <f>'NET sell'!G22</f>
        <v>50</v>
      </c>
      <c r="J22" s="15">
        <f>'NET sell'!H22</f>
        <v>0.8</v>
      </c>
      <c r="K22" s="15">
        <f>'NET sell'!I22</f>
        <v>70</v>
      </c>
      <c r="L22" s="15">
        <f>'NET sell'!J22</f>
        <v>1.8</v>
      </c>
      <c r="M22" s="15">
        <f>'NET sell'!K22</f>
        <v>75</v>
      </c>
      <c r="N22" s="15">
        <f>'NET sell'!L22</f>
        <v>0.7</v>
      </c>
      <c r="O22" s="15">
        <f>'NET sell'!M22</f>
        <v>80</v>
      </c>
      <c r="P22" s="15">
        <f>'NET sell'!N22</f>
        <v>3.4</v>
      </c>
      <c r="Q22" s="15">
        <f>'NET sell'!O22</f>
        <v>99</v>
      </c>
      <c r="R22" s="15">
        <f>'NET sell'!P22</f>
        <v>1.1000000000000001</v>
      </c>
      <c r="S22" s="15">
        <f>'NET sell'!Q22</f>
        <v>125</v>
      </c>
      <c r="T22" s="15">
        <f>'NET sell'!R22</f>
        <v>0</v>
      </c>
      <c r="U22" s="15">
        <f>'NET sell'!S22</f>
        <v>0</v>
      </c>
      <c r="V22" s="15">
        <f>'NET sell'!T22</f>
        <v>0</v>
      </c>
      <c r="W22" s="15">
        <f>'NET sell'!U22</f>
        <v>0</v>
      </c>
      <c r="X22" s="15">
        <f>'NET sell'!V22</f>
        <v>0</v>
      </c>
      <c r="Y22" s="15">
        <f>'NET sell'!W22</f>
        <v>0</v>
      </c>
      <c r="Z22" s="15">
        <f>'NET sell'!X22</f>
        <v>0</v>
      </c>
      <c r="AA22" s="15">
        <f>'NET sell'!Y22</f>
        <v>0</v>
      </c>
      <c r="AB22" s="15">
        <f>'NET sell'!Z22</f>
        <v>0</v>
      </c>
      <c r="AC22" s="15">
        <f>'NET sell'!AA22</f>
        <v>0</v>
      </c>
      <c r="AD22" s="15">
        <f>'NET sell'!AB22</f>
        <v>0</v>
      </c>
      <c r="AE22" s="15">
        <f>'NET sell'!AC22</f>
        <v>0</v>
      </c>
      <c r="AF22" s="15">
        <f>'NET sell'!AD22</f>
        <v>0</v>
      </c>
      <c r="AG22" s="15">
        <f>'NET sell'!AE22</f>
        <v>0</v>
      </c>
      <c r="AH22" s="15">
        <f>'NET sell'!AF22</f>
        <v>0</v>
      </c>
      <c r="AI22" s="15">
        <f>'NET sell'!AG22</f>
        <v>0</v>
      </c>
      <c r="AJ22" s="15">
        <f>'NET sell'!AH22</f>
        <v>0</v>
      </c>
      <c r="AK22" s="15">
        <f>'NET sell'!AI22</f>
        <v>0</v>
      </c>
      <c r="AL22" s="15">
        <f>'NET sell'!AJ22</f>
        <v>0</v>
      </c>
      <c r="AM22" s="15">
        <f>'NET sell'!AK22</f>
        <v>0</v>
      </c>
      <c r="AN22" s="15">
        <f>'NET sell'!AL22</f>
        <v>0</v>
      </c>
      <c r="AO22" s="15">
        <f>'NET sell'!AM22</f>
        <v>0</v>
      </c>
      <c r="AP22" s="15">
        <f>'NET sell'!AN22</f>
        <v>0</v>
      </c>
      <c r="AQ22" s="15">
        <f>'NET sell'!AO22</f>
        <v>0</v>
      </c>
      <c r="AR22" s="15">
        <f>'NET sell'!AP22</f>
        <v>0</v>
      </c>
      <c r="AS22" s="15">
        <f>'NET sell'!AQ22</f>
        <v>0</v>
      </c>
      <c r="AT22" s="15">
        <f>'NET sell'!AR22</f>
        <v>0</v>
      </c>
      <c r="AU22" s="15">
        <f>'NET sell'!AS22</f>
        <v>0</v>
      </c>
      <c r="AV22" s="15">
        <f>'NET sell'!AT22</f>
        <v>0</v>
      </c>
      <c r="AW22" s="15">
        <f>'NET sell'!AU22</f>
        <v>0</v>
      </c>
      <c r="AX22" s="15">
        <f>'NET sell'!AV22</f>
        <v>0</v>
      </c>
      <c r="AY22" s="16">
        <f>'NET sell'!AW22</f>
        <v>0</v>
      </c>
    </row>
    <row r="23" spans="1:51">
      <c r="A23" s="14">
        <v>19</v>
      </c>
      <c r="B23" s="15">
        <f>ROUND('Check_netting_ETS_G&amp;P'!H23,1)</f>
        <v>101.4</v>
      </c>
      <c r="C23" s="15">
        <f>IF(B23=0,0,Config!$I$2)</f>
        <v>-5</v>
      </c>
      <c r="D23" s="15">
        <f>'NET sell'!B23</f>
        <v>38.200000000000003</v>
      </c>
      <c r="E23" s="15">
        <f>'NET sell'!C23</f>
        <v>-500</v>
      </c>
      <c r="F23" s="15">
        <f>'NET sell'!D23</f>
        <v>1.8</v>
      </c>
      <c r="G23" s="15">
        <f>'NET sell'!E23</f>
        <v>35</v>
      </c>
      <c r="H23" s="15">
        <f>'NET sell'!F23</f>
        <v>3.6</v>
      </c>
      <c r="I23" s="15">
        <f>'NET sell'!G23</f>
        <v>50</v>
      </c>
      <c r="J23" s="15">
        <f>'NET sell'!H23</f>
        <v>0.8</v>
      </c>
      <c r="K23" s="15">
        <f>'NET sell'!I23</f>
        <v>70</v>
      </c>
      <c r="L23" s="15">
        <f>'NET sell'!J23</f>
        <v>1.8</v>
      </c>
      <c r="M23" s="15">
        <f>'NET sell'!K23</f>
        <v>75</v>
      </c>
      <c r="N23" s="15">
        <f>'NET sell'!L23</f>
        <v>0.7</v>
      </c>
      <c r="O23" s="15">
        <f>'NET sell'!M23</f>
        <v>80</v>
      </c>
      <c r="P23" s="15">
        <f>'NET sell'!N23</f>
        <v>3.4</v>
      </c>
      <c r="Q23" s="15">
        <f>'NET sell'!O23</f>
        <v>99</v>
      </c>
      <c r="R23" s="15">
        <f>'NET sell'!P23</f>
        <v>1.1000000000000001</v>
      </c>
      <c r="S23" s="15">
        <f>'NET sell'!Q23</f>
        <v>125</v>
      </c>
      <c r="T23" s="15">
        <f>'NET sell'!R23</f>
        <v>0</v>
      </c>
      <c r="U23" s="15">
        <f>'NET sell'!S23</f>
        <v>0</v>
      </c>
      <c r="V23" s="15">
        <f>'NET sell'!T23</f>
        <v>0</v>
      </c>
      <c r="W23" s="15">
        <f>'NET sell'!U23</f>
        <v>0</v>
      </c>
      <c r="X23" s="15">
        <f>'NET sell'!V23</f>
        <v>0</v>
      </c>
      <c r="Y23" s="15">
        <f>'NET sell'!W23</f>
        <v>0</v>
      </c>
      <c r="Z23" s="15">
        <f>'NET sell'!X23</f>
        <v>0</v>
      </c>
      <c r="AA23" s="15">
        <f>'NET sell'!Y23</f>
        <v>0</v>
      </c>
      <c r="AB23" s="15">
        <f>'NET sell'!Z23</f>
        <v>0</v>
      </c>
      <c r="AC23" s="15">
        <f>'NET sell'!AA23</f>
        <v>0</v>
      </c>
      <c r="AD23" s="15">
        <f>'NET sell'!AB23</f>
        <v>0</v>
      </c>
      <c r="AE23" s="15">
        <f>'NET sell'!AC23</f>
        <v>0</v>
      </c>
      <c r="AF23" s="15">
        <f>'NET sell'!AD23</f>
        <v>0</v>
      </c>
      <c r="AG23" s="15">
        <f>'NET sell'!AE23</f>
        <v>0</v>
      </c>
      <c r="AH23" s="15">
        <f>'NET sell'!AF23</f>
        <v>0</v>
      </c>
      <c r="AI23" s="15">
        <f>'NET sell'!AG23</f>
        <v>0</v>
      </c>
      <c r="AJ23" s="15">
        <f>'NET sell'!AH23</f>
        <v>0</v>
      </c>
      <c r="AK23" s="15">
        <f>'NET sell'!AI23</f>
        <v>0</v>
      </c>
      <c r="AL23" s="15">
        <f>'NET sell'!AJ23</f>
        <v>0</v>
      </c>
      <c r="AM23" s="15">
        <f>'NET sell'!AK23</f>
        <v>0</v>
      </c>
      <c r="AN23" s="15">
        <f>'NET sell'!AL23</f>
        <v>0</v>
      </c>
      <c r="AO23" s="15">
        <f>'NET sell'!AM23</f>
        <v>0</v>
      </c>
      <c r="AP23" s="15">
        <f>'NET sell'!AN23</f>
        <v>0</v>
      </c>
      <c r="AQ23" s="15">
        <f>'NET sell'!AO23</f>
        <v>0</v>
      </c>
      <c r="AR23" s="15">
        <f>'NET sell'!AP23</f>
        <v>0</v>
      </c>
      <c r="AS23" s="15">
        <f>'NET sell'!AQ23</f>
        <v>0</v>
      </c>
      <c r="AT23" s="15">
        <f>'NET sell'!AR23</f>
        <v>0</v>
      </c>
      <c r="AU23" s="15">
        <f>'NET sell'!AS23</f>
        <v>0</v>
      </c>
      <c r="AV23" s="15">
        <f>'NET sell'!AT23</f>
        <v>0</v>
      </c>
      <c r="AW23" s="15">
        <f>'NET sell'!AU23</f>
        <v>0</v>
      </c>
      <c r="AX23" s="15">
        <f>'NET sell'!AV23</f>
        <v>0</v>
      </c>
      <c r="AY23" s="16">
        <f>'NET sell'!AW23</f>
        <v>0</v>
      </c>
    </row>
    <row r="24" spans="1:51">
      <c r="A24" s="14">
        <v>20</v>
      </c>
      <c r="B24" s="15">
        <f>ROUND('Check_netting_ETS_G&amp;P'!H24,1)</f>
        <v>79.3</v>
      </c>
      <c r="C24" s="15">
        <f>IF(B24=0,0,Config!$I$2)</f>
        <v>-5</v>
      </c>
      <c r="D24" s="15">
        <f>'NET sell'!B24</f>
        <v>38.200000000000003</v>
      </c>
      <c r="E24" s="15">
        <f>'NET sell'!C24</f>
        <v>-500</v>
      </c>
      <c r="F24" s="15">
        <f>'NET sell'!D24</f>
        <v>1.8</v>
      </c>
      <c r="G24" s="15">
        <f>'NET sell'!E24</f>
        <v>35</v>
      </c>
      <c r="H24" s="15">
        <f>'NET sell'!F24</f>
        <v>3.6</v>
      </c>
      <c r="I24" s="15">
        <f>'NET sell'!G24</f>
        <v>50</v>
      </c>
      <c r="J24" s="15">
        <f>'NET sell'!H24</f>
        <v>0.8</v>
      </c>
      <c r="K24" s="15">
        <f>'NET sell'!I24</f>
        <v>70</v>
      </c>
      <c r="L24" s="15">
        <f>'NET sell'!J24</f>
        <v>1.8</v>
      </c>
      <c r="M24" s="15">
        <f>'NET sell'!K24</f>
        <v>75</v>
      </c>
      <c r="N24" s="15">
        <f>'NET sell'!L24</f>
        <v>0.7</v>
      </c>
      <c r="O24" s="15">
        <f>'NET sell'!M24</f>
        <v>80</v>
      </c>
      <c r="P24" s="15">
        <f>'NET sell'!N24</f>
        <v>3.4</v>
      </c>
      <c r="Q24" s="15">
        <f>'NET sell'!O24</f>
        <v>99</v>
      </c>
      <c r="R24" s="15">
        <f>'NET sell'!P24</f>
        <v>1.1000000000000001</v>
      </c>
      <c r="S24" s="15">
        <f>'NET sell'!Q24</f>
        <v>110</v>
      </c>
      <c r="T24" s="15">
        <f>'NET sell'!R24</f>
        <v>0</v>
      </c>
      <c r="U24" s="15">
        <f>'NET sell'!S24</f>
        <v>0</v>
      </c>
      <c r="V24" s="15">
        <f>'NET sell'!T24</f>
        <v>0</v>
      </c>
      <c r="W24" s="15">
        <f>'NET sell'!U24</f>
        <v>0</v>
      </c>
      <c r="X24" s="15">
        <f>'NET sell'!V24</f>
        <v>0</v>
      </c>
      <c r="Y24" s="15">
        <f>'NET sell'!W24</f>
        <v>0</v>
      </c>
      <c r="Z24" s="15">
        <f>'NET sell'!X24</f>
        <v>0</v>
      </c>
      <c r="AA24" s="15">
        <f>'NET sell'!Y24</f>
        <v>0</v>
      </c>
      <c r="AB24" s="15">
        <f>'NET sell'!Z24</f>
        <v>0</v>
      </c>
      <c r="AC24" s="15">
        <f>'NET sell'!AA24</f>
        <v>0</v>
      </c>
      <c r="AD24" s="15">
        <f>'NET sell'!AB24</f>
        <v>0</v>
      </c>
      <c r="AE24" s="15">
        <f>'NET sell'!AC24</f>
        <v>0</v>
      </c>
      <c r="AF24" s="15">
        <f>'NET sell'!AD24</f>
        <v>0</v>
      </c>
      <c r="AG24" s="15">
        <f>'NET sell'!AE24</f>
        <v>0</v>
      </c>
      <c r="AH24" s="15">
        <f>'NET sell'!AF24</f>
        <v>0</v>
      </c>
      <c r="AI24" s="15">
        <f>'NET sell'!AG24</f>
        <v>0</v>
      </c>
      <c r="AJ24" s="15">
        <f>'NET sell'!AH24</f>
        <v>0</v>
      </c>
      <c r="AK24" s="15">
        <f>'NET sell'!AI24</f>
        <v>0</v>
      </c>
      <c r="AL24" s="15">
        <f>'NET sell'!AJ24</f>
        <v>0</v>
      </c>
      <c r="AM24" s="15">
        <f>'NET sell'!AK24</f>
        <v>0</v>
      </c>
      <c r="AN24" s="15">
        <f>'NET sell'!AL24</f>
        <v>0</v>
      </c>
      <c r="AO24" s="15">
        <f>'NET sell'!AM24</f>
        <v>0</v>
      </c>
      <c r="AP24" s="15">
        <f>'NET sell'!AN24</f>
        <v>0</v>
      </c>
      <c r="AQ24" s="15">
        <f>'NET sell'!AO24</f>
        <v>0</v>
      </c>
      <c r="AR24" s="15">
        <f>'NET sell'!AP24</f>
        <v>0</v>
      </c>
      <c r="AS24" s="15">
        <f>'NET sell'!AQ24</f>
        <v>0</v>
      </c>
      <c r="AT24" s="15">
        <f>'NET sell'!AR24</f>
        <v>0</v>
      </c>
      <c r="AU24" s="15">
        <f>'NET sell'!AS24</f>
        <v>0</v>
      </c>
      <c r="AV24" s="15">
        <f>'NET sell'!AT24</f>
        <v>0</v>
      </c>
      <c r="AW24" s="15">
        <f>'NET sell'!AU24</f>
        <v>0</v>
      </c>
      <c r="AX24" s="15">
        <f>'NET sell'!AV24</f>
        <v>0</v>
      </c>
      <c r="AY24" s="16">
        <f>'NET sell'!AW24</f>
        <v>0</v>
      </c>
    </row>
    <row r="25" spans="1:51">
      <c r="A25" s="14">
        <v>21</v>
      </c>
      <c r="B25" s="15">
        <f>ROUND('Check_netting_ETS_G&amp;P'!H25,1)</f>
        <v>0</v>
      </c>
      <c r="C25" s="15">
        <f>IF(B25=0,0,Config!$I$2)</f>
        <v>0</v>
      </c>
      <c r="D25" s="15">
        <f>'NET sell'!B25</f>
        <v>35.700000000000003</v>
      </c>
      <c r="E25" s="15">
        <f>'NET sell'!C25</f>
        <v>-500</v>
      </c>
      <c r="F25" s="15">
        <f>'NET sell'!D25</f>
        <v>1.8</v>
      </c>
      <c r="G25" s="15">
        <f>'NET sell'!E25</f>
        <v>35</v>
      </c>
      <c r="H25" s="15">
        <f>'NET sell'!F25</f>
        <v>3.6</v>
      </c>
      <c r="I25" s="15">
        <f>'NET sell'!G25</f>
        <v>50</v>
      </c>
      <c r="J25" s="15">
        <f>'NET sell'!H25</f>
        <v>2</v>
      </c>
      <c r="K25" s="15">
        <f>'NET sell'!I25</f>
        <v>55</v>
      </c>
      <c r="L25" s="15">
        <f>'NET sell'!J25</f>
        <v>0.7</v>
      </c>
      <c r="M25" s="15">
        <f>'NET sell'!K25</f>
        <v>60</v>
      </c>
      <c r="N25" s="15">
        <f>'NET sell'!L25</f>
        <v>0.8</v>
      </c>
      <c r="O25" s="15">
        <f>'NET sell'!M25</f>
        <v>70</v>
      </c>
      <c r="P25" s="15">
        <f>'NET sell'!N25</f>
        <v>1.8</v>
      </c>
      <c r="Q25" s="15">
        <f>'NET sell'!O25</f>
        <v>75</v>
      </c>
      <c r="R25" s="15">
        <f>'NET sell'!P25</f>
        <v>3.4</v>
      </c>
      <c r="S25" s="15">
        <f>'NET sell'!Q25</f>
        <v>99</v>
      </c>
      <c r="T25" s="15">
        <f>'NET sell'!R25</f>
        <v>1.1000000000000001</v>
      </c>
      <c r="U25" s="15">
        <f>'NET sell'!S25</f>
        <v>100</v>
      </c>
      <c r="V25" s="15">
        <f>'NET sell'!T25</f>
        <v>0</v>
      </c>
      <c r="W25" s="15">
        <f>'NET sell'!U25</f>
        <v>0</v>
      </c>
      <c r="X25" s="15">
        <f>'NET sell'!V25</f>
        <v>0</v>
      </c>
      <c r="Y25" s="15">
        <f>'NET sell'!W25</f>
        <v>0</v>
      </c>
      <c r="Z25" s="15">
        <f>'NET sell'!X25</f>
        <v>0</v>
      </c>
      <c r="AA25" s="15">
        <f>'NET sell'!Y25</f>
        <v>0</v>
      </c>
      <c r="AB25" s="15">
        <f>'NET sell'!Z25</f>
        <v>0</v>
      </c>
      <c r="AC25" s="15">
        <f>'NET sell'!AA25</f>
        <v>0</v>
      </c>
      <c r="AD25" s="15">
        <f>'NET sell'!AB25</f>
        <v>0</v>
      </c>
      <c r="AE25" s="15">
        <f>'NET sell'!AC25</f>
        <v>0</v>
      </c>
      <c r="AF25" s="15">
        <f>'NET sell'!AD25</f>
        <v>0</v>
      </c>
      <c r="AG25" s="15">
        <f>'NET sell'!AE25</f>
        <v>0</v>
      </c>
      <c r="AH25" s="15">
        <f>'NET sell'!AF25</f>
        <v>0</v>
      </c>
      <c r="AI25" s="15">
        <f>'NET sell'!AG25</f>
        <v>0</v>
      </c>
      <c r="AJ25" s="15">
        <f>'NET sell'!AH25</f>
        <v>0</v>
      </c>
      <c r="AK25" s="15">
        <f>'NET sell'!AI25</f>
        <v>0</v>
      </c>
      <c r="AL25" s="15">
        <f>'NET sell'!AJ25</f>
        <v>0</v>
      </c>
      <c r="AM25" s="15">
        <f>'NET sell'!AK25</f>
        <v>0</v>
      </c>
      <c r="AN25" s="15">
        <f>'NET sell'!AL25</f>
        <v>0</v>
      </c>
      <c r="AO25" s="15">
        <f>'NET sell'!AM25</f>
        <v>0</v>
      </c>
      <c r="AP25" s="15">
        <f>'NET sell'!AN25</f>
        <v>0</v>
      </c>
      <c r="AQ25" s="15">
        <f>'NET sell'!AO25</f>
        <v>0</v>
      </c>
      <c r="AR25" s="15">
        <f>'NET sell'!AP25</f>
        <v>0</v>
      </c>
      <c r="AS25" s="15">
        <f>'NET sell'!AQ25</f>
        <v>0</v>
      </c>
      <c r="AT25" s="15">
        <f>'NET sell'!AR25</f>
        <v>0</v>
      </c>
      <c r="AU25" s="15">
        <f>'NET sell'!AS25</f>
        <v>0</v>
      </c>
      <c r="AV25" s="15">
        <f>'NET sell'!AT25</f>
        <v>0</v>
      </c>
      <c r="AW25" s="15">
        <f>'NET sell'!AU25</f>
        <v>0</v>
      </c>
      <c r="AX25" s="15">
        <f>'NET sell'!AV25</f>
        <v>0</v>
      </c>
      <c r="AY25" s="16">
        <f>'NET sell'!AW25</f>
        <v>0</v>
      </c>
    </row>
    <row r="26" spans="1:51">
      <c r="A26" s="14">
        <v>22</v>
      </c>
      <c r="B26" s="15">
        <f>ROUND('Check_netting_ETS_G&amp;P'!H26,1)</f>
        <v>0</v>
      </c>
      <c r="C26" s="15">
        <f>IF(B26=0,0,Config!$I$2)</f>
        <v>0</v>
      </c>
      <c r="D26" s="15">
        <f>'NET sell'!B26</f>
        <v>31.9</v>
      </c>
      <c r="E26" s="15">
        <f>'NET sell'!C26</f>
        <v>-500</v>
      </c>
      <c r="F26" s="15">
        <f>'NET sell'!D26</f>
        <v>1.8</v>
      </c>
      <c r="G26" s="15">
        <f>'NET sell'!E26</f>
        <v>35</v>
      </c>
      <c r="H26" s="15">
        <f>'NET sell'!F26</f>
        <v>3.6</v>
      </c>
      <c r="I26" s="15">
        <f>'NET sell'!G26</f>
        <v>50</v>
      </c>
      <c r="J26" s="15">
        <f>'NET sell'!H26</f>
        <v>2</v>
      </c>
      <c r="K26" s="15">
        <f>'NET sell'!I26</f>
        <v>55</v>
      </c>
      <c r="L26" s="15">
        <f>'NET sell'!J26</f>
        <v>3.1</v>
      </c>
      <c r="M26" s="15">
        <f>'NET sell'!K26</f>
        <v>60</v>
      </c>
      <c r="N26" s="15">
        <f>'NET sell'!L26</f>
        <v>0.8</v>
      </c>
      <c r="O26" s="15">
        <f>'NET sell'!M26</f>
        <v>70</v>
      </c>
      <c r="P26" s="15">
        <f>'NET sell'!N26</f>
        <v>1.8</v>
      </c>
      <c r="Q26" s="15">
        <f>'NET sell'!O26</f>
        <v>75</v>
      </c>
      <c r="R26" s="15">
        <f>'NET sell'!P26</f>
        <v>3.4</v>
      </c>
      <c r="S26" s="15">
        <f>'NET sell'!Q26</f>
        <v>99</v>
      </c>
      <c r="T26" s="15">
        <f>'NET sell'!R26</f>
        <v>1.1000000000000001</v>
      </c>
      <c r="U26" s="15">
        <f>'NET sell'!S26</f>
        <v>100</v>
      </c>
      <c r="V26" s="15">
        <f>'NET sell'!T26</f>
        <v>0</v>
      </c>
      <c r="W26" s="15">
        <f>'NET sell'!U26</f>
        <v>0</v>
      </c>
      <c r="X26" s="15">
        <f>'NET sell'!V26</f>
        <v>0</v>
      </c>
      <c r="Y26" s="15">
        <f>'NET sell'!W26</f>
        <v>0</v>
      </c>
      <c r="Z26" s="15">
        <f>'NET sell'!X26</f>
        <v>0</v>
      </c>
      <c r="AA26" s="15">
        <f>'NET sell'!Y26</f>
        <v>0</v>
      </c>
      <c r="AB26" s="15">
        <f>'NET sell'!Z26</f>
        <v>0</v>
      </c>
      <c r="AC26" s="15">
        <f>'NET sell'!AA26</f>
        <v>0</v>
      </c>
      <c r="AD26" s="15">
        <f>'NET sell'!AB26</f>
        <v>0</v>
      </c>
      <c r="AE26" s="15">
        <f>'NET sell'!AC26</f>
        <v>0</v>
      </c>
      <c r="AF26" s="15">
        <f>'NET sell'!AD26</f>
        <v>0</v>
      </c>
      <c r="AG26" s="15">
        <f>'NET sell'!AE26</f>
        <v>0</v>
      </c>
      <c r="AH26" s="15">
        <f>'NET sell'!AF26</f>
        <v>0</v>
      </c>
      <c r="AI26" s="15">
        <f>'NET sell'!AG26</f>
        <v>0</v>
      </c>
      <c r="AJ26" s="15">
        <f>'NET sell'!AH26</f>
        <v>0</v>
      </c>
      <c r="AK26" s="15">
        <f>'NET sell'!AI26</f>
        <v>0</v>
      </c>
      <c r="AL26" s="15">
        <f>'NET sell'!AJ26</f>
        <v>0</v>
      </c>
      <c r="AM26" s="15">
        <f>'NET sell'!AK26</f>
        <v>0</v>
      </c>
      <c r="AN26" s="15">
        <f>'NET sell'!AL26</f>
        <v>0</v>
      </c>
      <c r="AO26" s="15">
        <f>'NET sell'!AM26</f>
        <v>0</v>
      </c>
      <c r="AP26" s="15">
        <f>'NET sell'!AN26</f>
        <v>0</v>
      </c>
      <c r="AQ26" s="15">
        <f>'NET sell'!AO26</f>
        <v>0</v>
      </c>
      <c r="AR26" s="15">
        <f>'NET sell'!AP26</f>
        <v>0</v>
      </c>
      <c r="AS26" s="15">
        <f>'NET sell'!AQ26</f>
        <v>0</v>
      </c>
      <c r="AT26" s="15">
        <f>'NET sell'!AR26</f>
        <v>0</v>
      </c>
      <c r="AU26" s="15">
        <f>'NET sell'!AS26</f>
        <v>0</v>
      </c>
      <c r="AV26" s="15">
        <f>'NET sell'!AT26</f>
        <v>0</v>
      </c>
      <c r="AW26" s="15">
        <f>'NET sell'!AU26</f>
        <v>0</v>
      </c>
      <c r="AX26" s="15">
        <f>'NET sell'!AV26</f>
        <v>0</v>
      </c>
      <c r="AY26" s="16">
        <f>'NET sell'!AW26</f>
        <v>0</v>
      </c>
    </row>
    <row r="27" spans="1:51">
      <c r="A27" s="14">
        <v>23</v>
      </c>
      <c r="B27" s="15">
        <f>ROUND('Check_netting_ETS_G&amp;P'!H27,1)</f>
        <v>36.9</v>
      </c>
      <c r="C27" s="15">
        <f>IF(B27=0,0,Config!$I$2)</f>
        <v>-5</v>
      </c>
      <c r="D27" s="15">
        <f>'NET sell'!B27</f>
        <v>31.9</v>
      </c>
      <c r="E27" s="15">
        <f>'NET sell'!C27</f>
        <v>-500</v>
      </c>
      <c r="F27" s="15">
        <f>'NET sell'!D27</f>
        <v>1.8</v>
      </c>
      <c r="G27" s="15">
        <f>'NET sell'!E27</f>
        <v>35</v>
      </c>
      <c r="H27" s="15">
        <f>'NET sell'!F27</f>
        <v>3.6</v>
      </c>
      <c r="I27" s="15">
        <f>'NET sell'!G27</f>
        <v>50</v>
      </c>
      <c r="J27" s="15">
        <f>'NET sell'!H27</f>
        <v>2</v>
      </c>
      <c r="K27" s="15">
        <f>'NET sell'!I27</f>
        <v>55</v>
      </c>
      <c r="L27" s="15">
        <f>'NET sell'!J27</f>
        <v>0.7</v>
      </c>
      <c r="M27" s="15">
        <f>'NET sell'!K27</f>
        <v>60</v>
      </c>
      <c r="N27" s="15">
        <f>'NET sell'!L27</f>
        <v>1.8</v>
      </c>
      <c r="O27" s="15">
        <f>'NET sell'!M27</f>
        <v>75</v>
      </c>
      <c r="P27" s="15">
        <f>'NET sell'!N27</f>
        <v>3.4</v>
      </c>
      <c r="Q27" s="15">
        <f>'NET sell'!O27</f>
        <v>99</v>
      </c>
      <c r="R27" s="15">
        <f>'NET sell'!P27</f>
        <v>1.1000000000000001</v>
      </c>
      <c r="S27" s="15">
        <f>'NET sell'!Q27</f>
        <v>100</v>
      </c>
      <c r="T27" s="15">
        <f>'NET sell'!R27</f>
        <v>0</v>
      </c>
      <c r="U27" s="15">
        <f>'NET sell'!S27</f>
        <v>0</v>
      </c>
      <c r="V27" s="15">
        <f>'NET sell'!T27</f>
        <v>0</v>
      </c>
      <c r="W27" s="15">
        <f>'NET sell'!U27</f>
        <v>0</v>
      </c>
      <c r="X27" s="15">
        <f>'NET sell'!V27</f>
        <v>0</v>
      </c>
      <c r="Y27" s="15">
        <f>'NET sell'!W27</f>
        <v>0</v>
      </c>
      <c r="Z27" s="15">
        <f>'NET sell'!X27</f>
        <v>0</v>
      </c>
      <c r="AA27" s="15">
        <f>'NET sell'!Y27</f>
        <v>0</v>
      </c>
      <c r="AB27" s="15">
        <f>'NET sell'!Z27</f>
        <v>0</v>
      </c>
      <c r="AC27" s="15">
        <f>'NET sell'!AA27</f>
        <v>0</v>
      </c>
      <c r="AD27" s="15">
        <f>'NET sell'!AB27</f>
        <v>0</v>
      </c>
      <c r="AE27" s="15">
        <f>'NET sell'!AC27</f>
        <v>0</v>
      </c>
      <c r="AF27" s="15">
        <f>'NET sell'!AD27</f>
        <v>0</v>
      </c>
      <c r="AG27" s="15">
        <f>'NET sell'!AE27</f>
        <v>0</v>
      </c>
      <c r="AH27" s="15">
        <f>'NET sell'!AF27</f>
        <v>0</v>
      </c>
      <c r="AI27" s="15">
        <f>'NET sell'!AG27</f>
        <v>0</v>
      </c>
      <c r="AJ27" s="15">
        <f>'NET sell'!AH27</f>
        <v>0</v>
      </c>
      <c r="AK27" s="15">
        <f>'NET sell'!AI27</f>
        <v>0</v>
      </c>
      <c r="AL27" s="15">
        <f>'NET sell'!AJ27</f>
        <v>0</v>
      </c>
      <c r="AM27" s="15">
        <f>'NET sell'!AK27</f>
        <v>0</v>
      </c>
      <c r="AN27" s="15">
        <f>'NET sell'!AL27</f>
        <v>0</v>
      </c>
      <c r="AO27" s="15">
        <f>'NET sell'!AM27</f>
        <v>0</v>
      </c>
      <c r="AP27" s="15">
        <f>'NET sell'!AN27</f>
        <v>0</v>
      </c>
      <c r="AQ27" s="15">
        <f>'NET sell'!AO27</f>
        <v>0</v>
      </c>
      <c r="AR27" s="15">
        <f>'NET sell'!AP27</f>
        <v>0</v>
      </c>
      <c r="AS27" s="15">
        <f>'NET sell'!AQ27</f>
        <v>0</v>
      </c>
      <c r="AT27" s="15">
        <f>'NET sell'!AR27</f>
        <v>0</v>
      </c>
      <c r="AU27" s="15">
        <f>'NET sell'!AS27</f>
        <v>0</v>
      </c>
      <c r="AV27" s="15">
        <f>'NET sell'!AT27</f>
        <v>0</v>
      </c>
      <c r="AW27" s="15">
        <f>'NET sell'!AU27</f>
        <v>0</v>
      </c>
      <c r="AX27" s="15">
        <f>'NET sell'!AV27</f>
        <v>0</v>
      </c>
      <c r="AY27" s="16">
        <f>'NET sell'!AW27</f>
        <v>0</v>
      </c>
    </row>
    <row r="28" spans="1:51">
      <c r="A28" s="14">
        <v>24</v>
      </c>
      <c r="B28" s="15">
        <f>ROUND('Check_netting_ETS_G&amp;P'!H28,1)</f>
        <v>20.399999999999999</v>
      </c>
      <c r="C28" s="15">
        <f>IF(B28=0,0,Config!$I$2)</f>
        <v>-5</v>
      </c>
      <c r="D28" s="15">
        <f>'NET sell'!B28</f>
        <v>27.7</v>
      </c>
      <c r="E28" s="15">
        <f>'NET sell'!C28</f>
        <v>-500</v>
      </c>
      <c r="F28" s="15">
        <f>'NET sell'!D28</f>
        <v>1.3</v>
      </c>
      <c r="G28" s="15">
        <f>'NET sell'!E28</f>
        <v>40</v>
      </c>
      <c r="H28" s="15">
        <f>'NET sell'!F28</f>
        <v>1.2</v>
      </c>
      <c r="I28" s="15">
        <f>'NET sell'!G28</f>
        <v>50</v>
      </c>
      <c r="J28" s="15">
        <f>'NET sell'!H28</f>
        <v>3.9</v>
      </c>
      <c r="K28" s="15">
        <f>'NET sell'!I28</f>
        <v>55</v>
      </c>
      <c r="L28" s="15">
        <f>'NET sell'!J28</f>
        <v>2.5</v>
      </c>
      <c r="M28" s="15">
        <f>'NET sell'!K28</f>
        <v>60</v>
      </c>
      <c r="N28" s="15">
        <f>'NET sell'!L28</f>
        <v>0.6</v>
      </c>
      <c r="O28" s="15">
        <f>'NET sell'!M28</f>
        <v>65</v>
      </c>
      <c r="P28" s="15">
        <f>'NET sell'!N28</f>
        <v>2.4</v>
      </c>
      <c r="Q28" s="15">
        <f>'NET sell'!O28</f>
        <v>70</v>
      </c>
      <c r="R28" s="15">
        <f>'NET sell'!P28</f>
        <v>1.8</v>
      </c>
      <c r="S28" s="15">
        <f>'NET sell'!Q28</f>
        <v>75</v>
      </c>
      <c r="T28" s="15">
        <f>'NET sell'!R28</f>
        <v>3.4</v>
      </c>
      <c r="U28" s="15">
        <f>'NET sell'!S28</f>
        <v>99</v>
      </c>
      <c r="V28" s="15">
        <f>'NET sell'!T28</f>
        <v>1.1000000000000001</v>
      </c>
      <c r="W28" s="15">
        <f>'NET sell'!U28</f>
        <v>100</v>
      </c>
      <c r="X28" s="15">
        <f>'NET sell'!V28</f>
        <v>0</v>
      </c>
      <c r="Y28" s="15">
        <f>'NET sell'!W28</f>
        <v>0</v>
      </c>
      <c r="Z28" s="15">
        <f>'NET sell'!X28</f>
        <v>0</v>
      </c>
      <c r="AA28" s="15">
        <f>'NET sell'!Y28</f>
        <v>0</v>
      </c>
      <c r="AB28" s="15">
        <f>'NET sell'!Z28</f>
        <v>0</v>
      </c>
      <c r="AC28" s="15">
        <f>'NET sell'!AA28</f>
        <v>0</v>
      </c>
      <c r="AD28" s="15">
        <f>'NET sell'!AB28</f>
        <v>0</v>
      </c>
      <c r="AE28" s="15">
        <f>'NET sell'!AC28</f>
        <v>0</v>
      </c>
      <c r="AF28" s="15">
        <f>'NET sell'!AD28</f>
        <v>0</v>
      </c>
      <c r="AG28" s="15">
        <f>'NET sell'!AE28</f>
        <v>0</v>
      </c>
      <c r="AH28" s="15">
        <f>'NET sell'!AF28</f>
        <v>0</v>
      </c>
      <c r="AI28" s="15">
        <f>'NET sell'!AG28</f>
        <v>0</v>
      </c>
      <c r="AJ28" s="15">
        <f>'NET sell'!AH28</f>
        <v>0</v>
      </c>
      <c r="AK28" s="15">
        <f>'NET sell'!AI28</f>
        <v>0</v>
      </c>
      <c r="AL28" s="15">
        <f>'NET sell'!AJ28</f>
        <v>0</v>
      </c>
      <c r="AM28" s="15">
        <f>'NET sell'!AK28</f>
        <v>0</v>
      </c>
      <c r="AN28" s="15">
        <f>'NET sell'!AL28</f>
        <v>0</v>
      </c>
      <c r="AO28" s="15">
        <f>'NET sell'!AM28</f>
        <v>0</v>
      </c>
      <c r="AP28" s="15">
        <f>'NET sell'!AN28</f>
        <v>0</v>
      </c>
      <c r="AQ28" s="15">
        <f>'NET sell'!AO28</f>
        <v>0</v>
      </c>
      <c r="AR28" s="15">
        <f>'NET sell'!AP28</f>
        <v>0</v>
      </c>
      <c r="AS28" s="15">
        <f>'NET sell'!AQ28</f>
        <v>0</v>
      </c>
      <c r="AT28" s="15">
        <f>'NET sell'!AR28</f>
        <v>0</v>
      </c>
      <c r="AU28" s="15">
        <f>'NET sell'!AS28</f>
        <v>0</v>
      </c>
      <c r="AV28" s="15">
        <f>'NET sell'!AT28</f>
        <v>0</v>
      </c>
      <c r="AW28" s="15">
        <f>'NET sell'!AU28</f>
        <v>0</v>
      </c>
      <c r="AX28" s="15">
        <f>'NET sell'!AV28</f>
        <v>0</v>
      </c>
      <c r="AY28" s="16">
        <f>'NET sell'!AW28</f>
        <v>0</v>
      </c>
    </row>
    <row r="29" spans="1:51" ht="15.75" thickBot="1">
      <c r="A29" s="25">
        <v>25</v>
      </c>
      <c r="B29" s="26">
        <f>ROUND('Check_netting_ETS_G&amp;P'!H29,1)</f>
        <v>0</v>
      </c>
      <c r="C29" s="26">
        <f>IF(B29=0,0,Config!$I$2)</f>
        <v>0</v>
      </c>
      <c r="D29" s="26">
        <f>'NET sell'!B29</f>
        <v>0</v>
      </c>
      <c r="E29" s="26">
        <f>'NET sell'!C29</f>
        <v>0</v>
      </c>
      <c r="F29" s="26">
        <f>'NET sell'!D29</f>
        <v>0</v>
      </c>
      <c r="G29" s="26">
        <f>'NET sell'!E29</f>
        <v>0</v>
      </c>
      <c r="H29" s="26">
        <f>'NET sell'!F29</f>
        <v>0</v>
      </c>
      <c r="I29" s="26">
        <f>'NET sell'!G29</f>
        <v>0</v>
      </c>
      <c r="J29" s="26">
        <f>'NET sell'!H29</f>
        <v>0</v>
      </c>
      <c r="K29" s="26">
        <f>'NET sell'!I29</f>
        <v>0</v>
      </c>
      <c r="L29" s="26">
        <f>'NET sell'!J29</f>
        <v>0</v>
      </c>
      <c r="M29" s="26">
        <f>'NET sell'!K29</f>
        <v>0</v>
      </c>
      <c r="N29" s="26">
        <f>'NET sell'!L29</f>
        <v>0</v>
      </c>
      <c r="O29" s="26">
        <f>'NET sell'!M29</f>
        <v>0</v>
      </c>
      <c r="P29" s="26">
        <f>'NET sell'!N29</f>
        <v>0</v>
      </c>
      <c r="Q29" s="26">
        <f>'NET sell'!O29</f>
        <v>0</v>
      </c>
      <c r="R29" s="26">
        <f>'NET sell'!P29</f>
        <v>0</v>
      </c>
      <c r="S29" s="26">
        <f>'NET sell'!Q29</f>
        <v>0</v>
      </c>
      <c r="T29" s="26">
        <f>'NET sell'!R29</f>
        <v>0</v>
      </c>
      <c r="U29" s="26">
        <f>'NET sell'!S29</f>
        <v>0</v>
      </c>
      <c r="V29" s="26">
        <f>'NET sell'!T29</f>
        <v>0</v>
      </c>
      <c r="W29" s="26">
        <f>'NET sell'!U29</f>
        <v>0</v>
      </c>
      <c r="X29" s="26">
        <f>'NET sell'!V29</f>
        <v>0</v>
      </c>
      <c r="Y29" s="26">
        <f>'NET sell'!W29</f>
        <v>0</v>
      </c>
      <c r="Z29" s="26">
        <f>'NET sell'!X29</f>
        <v>0</v>
      </c>
      <c r="AA29" s="26">
        <f>'NET sell'!Y29</f>
        <v>0</v>
      </c>
      <c r="AB29" s="26">
        <f>'NET sell'!Z29</f>
        <v>0</v>
      </c>
      <c r="AC29" s="26">
        <f>'NET sell'!AA29</f>
        <v>0</v>
      </c>
      <c r="AD29" s="26">
        <f>'NET sell'!AB29</f>
        <v>0</v>
      </c>
      <c r="AE29" s="26">
        <f>'NET sell'!AC29</f>
        <v>0</v>
      </c>
      <c r="AF29" s="26">
        <f>'NET sell'!AD29</f>
        <v>0</v>
      </c>
      <c r="AG29" s="26">
        <f>'NET sell'!AE29</f>
        <v>0</v>
      </c>
      <c r="AH29" s="26">
        <f>'NET sell'!AF29</f>
        <v>0</v>
      </c>
      <c r="AI29" s="26">
        <f>'NET sell'!AG29</f>
        <v>0</v>
      </c>
      <c r="AJ29" s="26">
        <f>'NET sell'!AH29</f>
        <v>0</v>
      </c>
      <c r="AK29" s="26">
        <f>'NET sell'!AI29</f>
        <v>0</v>
      </c>
      <c r="AL29" s="26">
        <f>'NET sell'!AJ29</f>
        <v>0</v>
      </c>
      <c r="AM29" s="26">
        <f>'NET sell'!AK29</f>
        <v>0</v>
      </c>
      <c r="AN29" s="26">
        <f>'NET sell'!AL29</f>
        <v>0</v>
      </c>
      <c r="AO29" s="26">
        <f>'NET sell'!AM29</f>
        <v>0</v>
      </c>
      <c r="AP29" s="26">
        <f>'NET sell'!AN29</f>
        <v>0</v>
      </c>
      <c r="AQ29" s="26">
        <f>'NET sell'!AO29</f>
        <v>0</v>
      </c>
      <c r="AR29" s="26">
        <f>'NET sell'!AP29</f>
        <v>0</v>
      </c>
      <c r="AS29" s="26">
        <f>'NET sell'!AQ29</f>
        <v>0</v>
      </c>
      <c r="AT29" s="26">
        <f>'NET sell'!AR29</f>
        <v>0</v>
      </c>
      <c r="AU29" s="26">
        <f>'NET sell'!AS29</f>
        <v>0</v>
      </c>
      <c r="AV29" s="26">
        <f>'NET sell'!AT29</f>
        <v>0</v>
      </c>
      <c r="AW29" s="26">
        <f>'NET sell'!AU29</f>
        <v>0</v>
      </c>
      <c r="AX29" s="26">
        <f>'NET sell'!AV29</f>
        <v>0</v>
      </c>
      <c r="AY29" s="27">
        <f>'NET sell'!AW29</f>
        <v>0</v>
      </c>
    </row>
    <row r="30" spans="1:51" ht="15.75" thickBot="1"/>
    <row r="31" spans="1:51" ht="15.75" thickBot="1">
      <c r="B31" s="17">
        <f>SUM(B5:B29)</f>
        <v>1716</v>
      </c>
      <c r="C31" s="18"/>
      <c r="D31" s="18">
        <f>SUM(D5:D29)</f>
        <v>819.2</v>
      </c>
      <c r="E31" s="18"/>
      <c r="F31" s="18">
        <f>SUM(F5:F29)</f>
        <v>35.6</v>
      </c>
      <c r="G31" s="18"/>
      <c r="H31" s="18">
        <f>SUM(H5:H29)</f>
        <v>81.199999999999989</v>
      </c>
      <c r="I31" s="18"/>
      <c r="J31" s="18">
        <f>SUM(J5:J29)</f>
        <v>51.099999999999987</v>
      </c>
      <c r="K31" s="18"/>
      <c r="L31" s="18">
        <f>SUM(L5:L29)</f>
        <v>55.499999999999986</v>
      </c>
      <c r="M31" s="18"/>
      <c r="N31" s="18">
        <f>SUM(N5:N29)</f>
        <v>25.5</v>
      </c>
      <c r="O31" s="18"/>
      <c r="P31" s="18">
        <f>SUM(P5:P29)</f>
        <v>41.999999999999993</v>
      </c>
      <c r="Q31" s="18"/>
      <c r="R31" s="18">
        <f>SUM(R5:R29)</f>
        <v>26.7</v>
      </c>
      <c r="S31" s="18"/>
      <c r="T31" s="18">
        <f>SUM(T5:T29)</f>
        <v>26.7</v>
      </c>
      <c r="U31" s="18"/>
      <c r="V31" s="18">
        <f>SUM(V5:V29)</f>
        <v>11.1</v>
      </c>
      <c r="W31" s="18"/>
      <c r="X31" s="18">
        <f>SUM(X5:X29)</f>
        <v>1.1000000000000001</v>
      </c>
      <c r="Y31" s="18"/>
      <c r="Z31" s="18">
        <f>SUM(Z5:Z29)</f>
        <v>0</v>
      </c>
      <c r="AA31" s="18"/>
      <c r="AB31" s="18">
        <f>SUM(AB5:AB29)</f>
        <v>0</v>
      </c>
      <c r="AC31" s="18"/>
      <c r="AD31" s="18">
        <f>SUM(AD5:AD29)</f>
        <v>0</v>
      </c>
      <c r="AE31" s="18"/>
      <c r="AF31" s="18">
        <f>SUM(AF5:AF29)</f>
        <v>0</v>
      </c>
      <c r="AG31" s="18"/>
      <c r="AH31" s="18">
        <f>SUM(AH5:AH29)</f>
        <v>0</v>
      </c>
      <c r="AI31" s="18"/>
      <c r="AJ31" s="18">
        <f>SUM(AJ5:AJ29)</f>
        <v>0</v>
      </c>
      <c r="AK31" s="18"/>
      <c r="AL31" s="18">
        <f>SUM(AL5:AL29)</f>
        <v>0</v>
      </c>
      <c r="AM31" s="18"/>
      <c r="AN31" s="18">
        <f>SUM(AN5:AN29)</f>
        <v>0</v>
      </c>
      <c r="AO31" s="18"/>
      <c r="AP31" s="18">
        <f>SUM(AP5:AP29)</f>
        <v>0</v>
      </c>
      <c r="AQ31" s="18"/>
      <c r="AR31" s="18">
        <f>SUM(AR5:AR29)</f>
        <v>0</v>
      </c>
      <c r="AS31" s="18"/>
      <c r="AT31" s="18">
        <f>SUM(AT5:AT29)</f>
        <v>0</v>
      </c>
      <c r="AU31" s="18"/>
      <c r="AV31" s="18">
        <f>SUM(AV5:AV29)</f>
        <v>0</v>
      </c>
      <c r="AW31" s="18"/>
      <c r="AX31" s="18">
        <f>SUM(AX5:AX29)</f>
        <v>0</v>
      </c>
      <c r="AY31" s="18"/>
    </row>
    <row r="32" spans="1:51" ht="15.75" thickBot="1"/>
    <row r="33" spans="1:51" ht="15.75" thickBot="1">
      <c r="A33" s="17" t="s">
        <v>14</v>
      </c>
      <c r="B33" s="19">
        <f>SUM(B31:AY31)</f>
        <v>2891.6999999999989</v>
      </c>
      <c r="C33" s="36" t="str">
        <f>IF(B46=0,IF(B35+B37+B39=B33,"OK","Error"),IF(B35+B45=B33,"OK","Error"))</f>
        <v>OK</v>
      </c>
    </row>
    <row r="34" spans="1:51" ht="15.75" thickBot="1"/>
    <row r="35" spans="1:51" ht="15.75" thickBot="1">
      <c r="A35" s="17" t="s">
        <v>15</v>
      </c>
      <c r="B35" s="19">
        <f>SUM('NET sell'!B31:AY31)</f>
        <v>1175.6999999999998</v>
      </c>
    </row>
    <row r="36" spans="1:51" ht="15.75" thickBot="1"/>
    <row r="37" spans="1:51" ht="15.75" thickBot="1">
      <c r="A37" s="17" t="s">
        <v>16</v>
      </c>
      <c r="B37" s="19">
        <f>SUM('ETS sell'!B31:AY31)</f>
        <v>24</v>
      </c>
    </row>
    <row r="38" spans="1:51" ht="15.75" thickBot="1"/>
    <row r="39" spans="1:51" ht="15.75" thickBot="1">
      <c r="A39" s="17" t="s">
        <v>17</v>
      </c>
      <c r="B39" s="19">
        <f>SUM('G&amp;P sell'!B31:AY31)</f>
        <v>1696</v>
      </c>
    </row>
    <row r="40" spans="1:51" ht="15.75" thickBot="1"/>
    <row r="41" spans="1:51" ht="15.75" thickBot="1">
      <c r="A41" s="17" t="s">
        <v>31</v>
      </c>
      <c r="B41" s="19">
        <f>SUM(B5:B29)</f>
        <v>1716</v>
      </c>
    </row>
    <row r="42" spans="1:51" ht="15.75" thickBot="1"/>
    <row r="43" spans="1:51" ht="15.75" thickBot="1">
      <c r="A43" s="17" t="s">
        <v>32</v>
      </c>
      <c r="B43" s="55">
        <v>1716.2638159999997</v>
      </c>
      <c r="D43" s="17" t="s">
        <v>33</v>
      </c>
      <c r="E43" s="56">
        <f>ROUND(B43-B41,0)</f>
        <v>0</v>
      </c>
    </row>
    <row r="44" spans="1:51" ht="15.75" thickBot="1"/>
    <row r="45" spans="1:51" ht="15.75" thickBot="1">
      <c r="A45" s="77" t="s">
        <v>42</v>
      </c>
      <c r="B45" s="78">
        <f>'Check_netting_ETS_G&amp;P'!H31</f>
        <v>1716</v>
      </c>
    </row>
    <row r="46" spans="1:51" ht="15.75" thickBot="1">
      <c r="A46" s="77" t="s">
        <v>43</v>
      </c>
      <c r="B46" s="78">
        <f>(B37+B39)-B41</f>
        <v>4</v>
      </c>
    </row>
    <row r="47" spans="1:51" ht="15.75" thickBot="1"/>
    <row r="48" spans="1:51" s="71" customFormat="1" ht="15.75" thickBot="1">
      <c r="A48" s="74" t="s">
        <v>40</v>
      </c>
      <c r="B48" s="75">
        <f>SUMPRODUCT(B5:B29,C5:C29)</f>
        <v>-8580</v>
      </c>
      <c r="C48" s="75"/>
      <c r="D48" s="75">
        <f>SUMPRODUCT(D5:D29,E5:E29)</f>
        <v>-409600</v>
      </c>
      <c r="E48" s="75"/>
      <c r="F48" s="75">
        <f>SUMPRODUCT(F5:F29,G5:G29)</f>
        <v>1238</v>
      </c>
      <c r="G48" s="75"/>
      <c r="H48" s="75">
        <f>SUMPRODUCT(H5:H29,I5:I29)</f>
        <v>4060</v>
      </c>
      <c r="I48" s="75"/>
      <c r="J48" s="75">
        <f>SUMPRODUCT(J5:J29,K5:K29)</f>
        <v>3145</v>
      </c>
      <c r="K48" s="75"/>
      <c r="L48" s="75">
        <f>SUMPRODUCT(L5:L29,M5:M29)</f>
        <v>4407.1999999999989</v>
      </c>
      <c r="M48" s="75"/>
      <c r="N48" s="75">
        <f>SUMPRODUCT(N5:N29,O5:O29)</f>
        <v>2226.1999999999998</v>
      </c>
      <c r="O48" s="75"/>
      <c r="P48" s="75">
        <f>SUMPRODUCT(P5:P29,Q5:Q29)</f>
        <v>3516.9999999999995</v>
      </c>
      <c r="Q48" s="75"/>
      <c r="R48" s="75">
        <f>SUMPRODUCT(R5:R29,S5:S29)</f>
        <v>2369.1999999999998</v>
      </c>
      <c r="S48" s="75"/>
      <c r="T48" s="75">
        <f>SUMPRODUCT(T5:T29,U5:U29)</f>
        <v>2632.1999999999994</v>
      </c>
      <c r="U48" s="75"/>
      <c r="V48" s="75">
        <f>SUMPRODUCT(V5:V29,W5:W29)</f>
        <v>1106.6000000000001</v>
      </c>
      <c r="W48" s="75"/>
      <c r="X48" s="75">
        <f>SUMPRODUCT(X5:X29,Y5:Y29)</f>
        <v>110.00000000000001</v>
      </c>
      <c r="Y48" s="75"/>
      <c r="Z48" s="75">
        <f>SUMPRODUCT(Z5:Z29,AA5:AA29)</f>
        <v>0</v>
      </c>
      <c r="AA48" s="75"/>
      <c r="AB48" s="75">
        <f>SUMPRODUCT(AB5:AB29,AC5:AC29)</f>
        <v>0</v>
      </c>
      <c r="AC48" s="75"/>
      <c r="AD48" s="75">
        <f>SUMPRODUCT(AD5:AD29,AE5:AE29)</f>
        <v>0</v>
      </c>
      <c r="AE48" s="75"/>
      <c r="AF48" s="75">
        <f>SUMPRODUCT(AF5:AF29,AG5:AG29)</f>
        <v>0</v>
      </c>
      <c r="AG48" s="75"/>
      <c r="AH48" s="75">
        <f>SUMPRODUCT(AH5:AH29,AI5:AI29)</f>
        <v>0</v>
      </c>
      <c r="AI48" s="75"/>
      <c r="AJ48" s="75">
        <f>SUMPRODUCT(AJ5:AJ29,AK5:AK29)</f>
        <v>0</v>
      </c>
      <c r="AK48" s="75"/>
      <c r="AL48" s="75">
        <f>SUMPRODUCT(AL5:AL29,AM5:AM29)</f>
        <v>0</v>
      </c>
      <c r="AM48" s="75"/>
      <c r="AN48" s="75">
        <f>SUMPRODUCT(AN5:AN29,AO5:AO29)</f>
        <v>0</v>
      </c>
      <c r="AO48" s="75"/>
      <c r="AP48" s="75">
        <f>SUMPRODUCT(AP5:AP29,AQ5:AQ29)</f>
        <v>0</v>
      </c>
      <c r="AQ48" s="75"/>
      <c r="AR48" s="75">
        <f>SUMPRODUCT(AR5:AR29,AS5:AS29)</f>
        <v>0</v>
      </c>
      <c r="AS48" s="75"/>
      <c r="AT48" s="75">
        <f>SUMPRODUCT(AT5:AT29,AU5:AU29)</f>
        <v>0</v>
      </c>
      <c r="AU48" s="75"/>
      <c r="AV48" s="75">
        <f>SUMPRODUCT(AV5:AV29,AW5:AW29)</f>
        <v>0</v>
      </c>
      <c r="AW48" s="75"/>
      <c r="AX48" s="75">
        <f>SUMPRODUCT(AX5:AX29,AY5:AY29)</f>
        <v>0</v>
      </c>
      <c r="AY48" s="76"/>
    </row>
  </sheetData>
  <conditionalFormatting sqref="C33">
    <cfRule type="cellIs" dxfId="4" priority="5" operator="equal">
      <formula>"OK"</formula>
    </cfRule>
  </conditionalFormatting>
  <conditionalFormatting sqref="F2">
    <cfRule type="cellIs" dxfId="3" priority="4" operator="equal">
      <formula>"OK"</formula>
    </cfRule>
    <cfRule type="cellIs" dxfId="2" priority="3" operator="equal">
      <formula>"ERRORE"</formula>
    </cfRule>
  </conditionalFormatting>
  <conditionalFormatting sqref="G2">
    <cfRule type="expression" dxfId="1" priority="1">
      <formula>OR($G$2="KO",$G$2="VERBALE KO")</formula>
    </cfRule>
    <cfRule type="cellIs" dxfId="0" priority="2" operator="equal">
      <formula>"OK"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rgb="FF99FF66"/>
  </sheetPr>
  <dimension ref="A1:AZ31"/>
  <sheetViews>
    <sheetView workbookViewId="0">
      <selection activeCell="A4" sqref="A4:AZ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4.7109375" style="1" bestFit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2" ht="21">
      <c r="A1" s="1" t="s">
        <v>51</v>
      </c>
      <c r="D1" s="20" t="s">
        <v>10</v>
      </c>
    </row>
    <row r="4" spans="1:52">
      <c r="A4" s="33" t="s">
        <v>0</v>
      </c>
      <c r="B4" s="34" t="s">
        <v>1</v>
      </c>
      <c r="C4" s="34" t="s">
        <v>2</v>
      </c>
      <c r="D4" s="34" t="s">
        <v>1</v>
      </c>
      <c r="E4" s="34" t="s">
        <v>2</v>
      </c>
      <c r="F4" s="34" t="s">
        <v>1</v>
      </c>
      <c r="G4" s="34" t="s">
        <v>2</v>
      </c>
      <c r="H4" s="34" t="s">
        <v>1</v>
      </c>
      <c r="I4" s="34" t="s">
        <v>2</v>
      </c>
      <c r="J4" s="34" t="s">
        <v>1</v>
      </c>
      <c r="K4" s="34" t="s">
        <v>2</v>
      </c>
      <c r="L4" s="34" t="s">
        <v>1</v>
      </c>
      <c r="M4" s="34" t="s">
        <v>2</v>
      </c>
      <c r="N4" s="34" t="s">
        <v>1</v>
      </c>
      <c r="O4" s="34" t="s">
        <v>2</v>
      </c>
      <c r="P4" s="34" t="s">
        <v>1</v>
      </c>
      <c r="Q4" s="34" t="s">
        <v>2</v>
      </c>
      <c r="R4" s="34" t="s">
        <v>1</v>
      </c>
      <c r="S4" s="34" t="s">
        <v>2</v>
      </c>
      <c r="T4" s="34" t="s">
        <v>1</v>
      </c>
      <c r="U4" s="34" t="s">
        <v>2</v>
      </c>
      <c r="V4" s="34" t="s">
        <v>1</v>
      </c>
      <c r="W4" s="34" t="s">
        <v>2</v>
      </c>
      <c r="X4" s="34" t="s">
        <v>1</v>
      </c>
      <c r="Y4" s="34" t="s">
        <v>2</v>
      </c>
      <c r="Z4" s="34" t="s">
        <v>1</v>
      </c>
      <c r="AA4" s="34" t="s">
        <v>2</v>
      </c>
      <c r="AB4" s="34" t="s">
        <v>1</v>
      </c>
      <c r="AC4" s="34" t="s">
        <v>2</v>
      </c>
      <c r="AD4" s="34" t="s">
        <v>1</v>
      </c>
      <c r="AE4" s="34" t="s">
        <v>2</v>
      </c>
      <c r="AF4" s="34" t="s">
        <v>1</v>
      </c>
      <c r="AG4" s="34" t="s">
        <v>2</v>
      </c>
      <c r="AH4" s="34" t="s">
        <v>1</v>
      </c>
      <c r="AI4" s="34" t="s">
        <v>2</v>
      </c>
      <c r="AJ4" s="34" t="s">
        <v>1</v>
      </c>
      <c r="AK4" s="34" t="s">
        <v>2</v>
      </c>
      <c r="AL4" s="34" t="s">
        <v>1</v>
      </c>
      <c r="AM4" s="34" t="s">
        <v>2</v>
      </c>
      <c r="AN4" s="34" t="s">
        <v>1</v>
      </c>
      <c r="AO4" s="34" t="s">
        <v>2</v>
      </c>
      <c r="AP4" s="34" t="s">
        <v>1</v>
      </c>
      <c r="AQ4" s="34" t="s">
        <v>2</v>
      </c>
      <c r="AR4" s="34" t="s">
        <v>1</v>
      </c>
      <c r="AS4" s="34" t="s">
        <v>2</v>
      </c>
      <c r="AT4" s="34" t="s">
        <v>1</v>
      </c>
      <c r="AU4" s="34" t="s">
        <v>2</v>
      </c>
      <c r="AV4" s="34" t="s">
        <v>1</v>
      </c>
      <c r="AW4" s="34" t="s">
        <v>2</v>
      </c>
      <c r="AX4" s="34" t="s">
        <v>1</v>
      </c>
      <c r="AY4" s="34" t="s">
        <v>2</v>
      </c>
      <c r="AZ4" s="32"/>
    </row>
    <row r="5" spans="1:52">
      <c r="A5" s="33">
        <v>1</v>
      </c>
      <c r="B5" s="54">
        <v>56.4</v>
      </c>
      <c r="C5" s="34">
        <v>-5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2"/>
    </row>
    <row r="6" spans="1:52">
      <c r="A6" s="33">
        <v>2</v>
      </c>
      <c r="B6" s="54">
        <v>57.3</v>
      </c>
      <c r="C6" s="34">
        <v>-5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2"/>
    </row>
    <row r="7" spans="1:52">
      <c r="A7" s="33">
        <v>3</v>
      </c>
      <c r="B7" s="54">
        <v>48.1</v>
      </c>
      <c r="C7" s="34">
        <v>-5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2"/>
    </row>
    <row r="8" spans="1:52">
      <c r="A8" s="33">
        <v>4</v>
      </c>
      <c r="B8" s="54">
        <v>42.3</v>
      </c>
      <c r="C8" s="34">
        <v>-5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2"/>
    </row>
    <row r="9" spans="1:52">
      <c r="A9" s="33">
        <v>5</v>
      </c>
      <c r="B9" s="54">
        <v>38.6</v>
      </c>
      <c r="C9" s="34">
        <v>-5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2"/>
    </row>
    <row r="10" spans="1:52">
      <c r="A10" s="33">
        <v>6</v>
      </c>
      <c r="B10" s="54">
        <v>25.2</v>
      </c>
      <c r="C10" s="34">
        <v>-5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2"/>
    </row>
    <row r="11" spans="1:52">
      <c r="A11" s="33">
        <v>7</v>
      </c>
      <c r="B11" s="54">
        <v>0.4</v>
      </c>
      <c r="C11" s="34">
        <v>-5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2"/>
    </row>
    <row r="12" spans="1:52">
      <c r="A12" s="33">
        <v>8</v>
      </c>
      <c r="B12" s="54">
        <v>110.4</v>
      </c>
      <c r="C12" s="34">
        <v>-5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2"/>
    </row>
    <row r="13" spans="1:52">
      <c r="A13" s="33">
        <v>9</v>
      </c>
      <c r="B13" s="54">
        <v>107.2</v>
      </c>
      <c r="C13" s="34">
        <v>-5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2"/>
    </row>
    <row r="14" spans="1:52">
      <c r="A14" s="33">
        <v>10</v>
      </c>
      <c r="B14" s="54">
        <v>121.5</v>
      </c>
      <c r="C14" s="34">
        <v>-5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2"/>
    </row>
    <row r="15" spans="1:52">
      <c r="A15" s="33">
        <v>11</v>
      </c>
      <c r="B15" s="54">
        <v>112.4</v>
      </c>
      <c r="C15" s="34">
        <v>-5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2"/>
    </row>
    <row r="16" spans="1:52">
      <c r="A16" s="33">
        <v>12</v>
      </c>
      <c r="B16" s="54">
        <v>105.2</v>
      </c>
      <c r="C16" s="34">
        <v>-5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2"/>
    </row>
    <row r="17" spans="1:52">
      <c r="A17" s="33">
        <v>13</v>
      </c>
      <c r="B17" s="54">
        <v>108.9</v>
      </c>
      <c r="C17" s="34">
        <v>-5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2"/>
    </row>
    <row r="18" spans="1:52">
      <c r="A18" s="33">
        <v>14</v>
      </c>
      <c r="B18" s="54">
        <v>102</v>
      </c>
      <c r="C18" s="34">
        <v>-5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2"/>
    </row>
    <row r="19" spans="1:52">
      <c r="A19" s="33">
        <v>15</v>
      </c>
      <c r="B19" s="54">
        <v>95.3</v>
      </c>
      <c r="C19" s="34">
        <v>-5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2"/>
    </row>
    <row r="20" spans="1:52">
      <c r="A20" s="33">
        <v>16</v>
      </c>
      <c r="B20" s="54">
        <v>100.7</v>
      </c>
      <c r="C20" s="34">
        <v>-5</v>
      </c>
      <c r="D20" s="34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2"/>
    </row>
    <row r="21" spans="1:52">
      <c r="A21" s="33">
        <v>17</v>
      </c>
      <c r="B21" s="54">
        <v>116.1</v>
      </c>
      <c r="C21" s="34">
        <v>-5</v>
      </c>
      <c r="D21" s="34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2"/>
    </row>
    <row r="22" spans="1:52">
      <c r="A22" s="33">
        <v>18</v>
      </c>
      <c r="B22" s="54">
        <v>114</v>
      </c>
      <c r="C22" s="34">
        <v>-5</v>
      </c>
      <c r="D22" s="34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2"/>
    </row>
    <row r="23" spans="1:52">
      <c r="A23" s="33">
        <v>19</v>
      </c>
      <c r="B23" s="54">
        <v>101.4</v>
      </c>
      <c r="C23" s="34">
        <v>-5</v>
      </c>
      <c r="D23" s="34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2"/>
    </row>
    <row r="24" spans="1:52">
      <c r="A24" s="33">
        <v>20</v>
      </c>
      <c r="B24" s="54">
        <v>79.3</v>
      </c>
      <c r="C24" s="34">
        <v>-5</v>
      </c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2"/>
    </row>
    <row r="25" spans="1:52">
      <c r="A25" s="33">
        <v>21</v>
      </c>
      <c r="B25" s="54"/>
      <c r="C25" s="34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2"/>
    </row>
    <row r="26" spans="1:52">
      <c r="A26" s="33">
        <v>22</v>
      </c>
      <c r="B26" s="54"/>
      <c r="C26" s="3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2"/>
    </row>
    <row r="27" spans="1:52">
      <c r="A27" s="33">
        <v>23</v>
      </c>
      <c r="B27" s="54">
        <v>34.9</v>
      </c>
      <c r="C27" s="34">
        <v>-5</v>
      </c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2"/>
    </row>
    <row r="28" spans="1:52">
      <c r="A28" s="33">
        <v>24</v>
      </c>
      <c r="B28" s="54">
        <v>18.399999999999999</v>
      </c>
      <c r="C28" s="34">
        <v>-5</v>
      </c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2"/>
    </row>
    <row r="29" spans="1:52">
      <c r="A29" s="33">
        <v>25</v>
      </c>
      <c r="B29" s="34"/>
      <c r="C29" s="3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2"/>
    </row>
    <row r="30" spans="1:52" ht="15.75" thickBot="1"/>
    <row r="31" spans="1:52" ht="15.75" thickBot="1">
      <c r="B31" s="17">
        <f>SUM(B5:B29)</f>
        <v>1696</v>
      </c>
      <c r="C31" s="18"/>
      <c r="D31" s="18">
        <f>SUM(D5:D29)</f>
        <v>0</v>
      </c>
      <c r="E31" s="18"/>
      <c r="F31" s="18">
        <f>SUM(F5:F29)</f>
        <v>0</v>
      </c>
      <c r="G31" s="18"/>
      <c r="H31" s="18">
        <f>SUM(H5:H29)</f>
        <v>0</v>
      </c>
      <c r="I31" s="18"/>
      <c r="J31" s="18">
        <f>SUM(J5:J29)</f>
        <v>0</v>
      </c>
      <c r="K31" s="18"/>
      <c r="L31" s="18">
        <f>SUM(L5:L29)</f>
        <v>0</v>
      </c>
      <c r="M31" s="18"/>
      <c r="N31" s="18">
        <f>SUM(N5:N29)</f>
        <v>0</v>
      </c>
      <c r="O31" s="18"/>
      <c r="P31" s="18">
        <f>SUM(P5:P29)</f>
        <v>0</v>
      </c>
      <c r="Q31" s="18"/>
      <c r="R31" s="18">
        <f>SUM(R5:R29)</f>
        <v>0</v>
      </c>
      <c r="S31" s="18"/>
      <c r="T31" s="18">
        <f>SUM(T5:T29)</f>
        <v>0</v>
      </c>
      <c r="U31" s="18"/>
      <c r="V31" s="18">
        <f>SUM(V5:V29)</f>
        <v>0</v>
      </c>
      <c r="W31" s="18"/>
      <c r="X31" s="18">
        <f>SUM(X5:X29)</f>
        <v>0</v>
      </c>
      <c r="Y31" s="18"/>
      <c r="Z31" s="18">
        <f>SUM(Z5:Z29)</f>
        <v>0</v>
      </c>
      <c r="AA31" s="18"/>
      <c r="AB31" s="18">
        <f>SUM(AB5:AB29)</f>
        <v>0</v>
      </c>
      <c r="AC31" s="18"/>
      <c r="AD31" s="18">
        <f>SUM(AD5:AD29)</f>
        <v>0</v>
      </c>
      <c r="AE31" s="18"/>
      <c r="AF31" s="18">
        <f>SUM(AF5:AF29)</f>
        <v>0</v>
      </c>
      <c r="AG31" s="18"/>
      <c r="AH31" s="18">
        <f>SUM(AH5:AH29)</f>
        <v>0</v>
      </c>
      <c r="AI31" s="18"/>
      <c r="AJ31" s="18">
        <f>SUM(AJ5:AJ29)</f>
        <v>0</v>
      </c>
      <c r="AK31" s="18"/>
      <c r="AL31" s="18">
        <f>SUM(AL5:AL29)</f>
        <v>0</v>
      </c>
      <c r="AM31" s="18"/>
      <c r="AN31" s="18">
        <f>SUM(AN5:AN29)</f>
        <v>0</v>
      </c>
      <c r="AO31" s="18"/>
      <c r="AP31" s="18">
        <f>SUM(AP5:AP29)</f>
        <v>0</v>
      </c>
      <c r="AQ31" s="18"/>
      <c r="AR31" s="18">
        <f>SUM(AR5:AR29)</f>
        <v>0</v>
      </c>
      <c r="AS31" s="18"/>
      <c r="AT31" s="18">
        <f>SUM(AT5:AT29)</f>
        <v>0</v>
      </c>
      <c r="AU31" s="18"/>
      <c r="AV31" s="18">
        <f>SUM(AV5:AV29)</f>
        <v>0</v>
      </c>
      <c r="AW31" s="18"/>
      <c r="AX31" s="18">
        <f>SUM(AX5:AX29)</f>
        <v>0</v>
      </c>
      <c r="AY31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tabColor rgb="FF99FF66"/>
  </sheetPr>
  <dimension ref="A1:AZ31"/>
  <sheetViews>
    <sheetView zoomScaleNormal="100" workbookViewId="0">
      <selection activeCell="A4" sqref="A4:AZ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4.7109375" style="1" bestFit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2" ht="21">
      <c r="A1" s="1" t="s">
        <v>51</v>
      </c>
      <c r="D1" s="20" t="s">
        <v>10</v>
      </c>
    </row>
    <row r="4" spans="1:52">
      <c r="A4" s="23" t="s">
        <v>0</v>
      </c>
      <c r="B4" s="23" t="s">
        <v>1</v>
      </c>
      <c r="C4" s="23" t="s">
        <v>2</v>
      </c>
      <c r="D4" s="23" t="s">
        <v>1</v>
      </c>
      <c r="E4" s="23" t="s">
        <v>2</v>
      </c>
      <c r="F4" s="23" t="s">
        <v>1</v>
      </c>
      <c r="G4" s="23" t="s">
        <v>2</v>
      </c>
      <c r="H4" s="23" t="s">
        <v>1</v>
      </c>
      <c r="I4" s="23" t="s">
        <v>2</v>
      </c>
      <c r="J4" s="23" t="s">
        <v>1</v>
      </c>
      <c r="K4" s="23" t="s">
        <v>2</v>
      </c>
      <c r="L4" s="23" t="s">
        <v>1</v>
      </c>
      <c r="M4" s="23" t="s">
        <v>2</v>
      </c>
      <c r="N4" s="23" t="s">
        <v>1</v>
      </c>
      <c r="O4" s="23" t="s">
        <v>2</v>
      </c>
      <c r="P4" s="23" t="s">
        <v>1</v>
      </c>
      <c r="Q4" s="23" t="s">
        <v>2</v>
      </c>
      <c r="R4" s="23" t="s">
        <v>1</v>
      </c>
      <c r="S4" s="23" t="s">
        <v>2</v>
      </c>
      <c r="T4" s="23" t="s">
        <v>1</v>
      </c>
      <c r="U4" s="23" t="s">
        <v>2</v>
      </c>
      <c r="V4" s="23" t="s">
        <v>1</v>
      </c>
      <c r="W4" s="23" t="s">
        <v>2</v>
      </c>
      <c r="X4" s="23" t="s">
        <v>1</v>
      </c>
      <c r="Y4" s="23" t="s">
        <v>2</v>
      </c>
      <c r="Z4" s="23" t="s">
        <v>1</v>
      </c>
      <c r="AA4" s="23" t="s">
        <v>2</v>
      </c>
      <c r="AB4" s="23" t="s">
        <v>1</v>
      </c>
      <c r="AC4" s="23" t="s">
        <v>2</v>
      </c>
      <c r="AD4" s="23" t="s">
        <v>1</v>
      </c>
      <c r="AE4" s="23" t="s">
        <v>2</v>
      </c>
      <c r="AF4" s="23" t="s">
        <v>1</v>
      </c>
      <c r="AG4" s="23" t="s">
        <v>2</v>
      </c>
      <c r="AH4" s="23" t="s">
        <v>1</v>
      </c>
      <c r="AI4" s="23" t="s">
        <v>2</v>
      </c>
      <c r="AJ4" s="23" t="s">
        <v>1</v>
      </c>
      <c r="AK4" s="23" t="s">
        <v>2</v>
      </c>
      <c r="AL4" s="23" t="s">
        <v>1</v>
      </c>
      <c r="AM4" s="23" t="s">
        <v>2</v>
      </c>
      <c r="AN4" s="23" t="s">
        <v>1</v>
      </c>
      <c r="AO4" s="23" t="s">
        <v>2</v>
      </c>
      <c r="AP4" s="23" t="s">
        <v>1</v>
      </c>
      <c r="AQ4" s="23" t="s">
        <v>2</v>
      </c>
      <c r="AR4" s="23" t="s">
        <v>1</v>
      </c>
      <c r="AS4" s="23" t="s">
        <v>2</v>
      </c>
      <c r="AT4" s="23" t="s">
        <v>1</v>
      </c>
      <c r="AU4" s="23" t="s">
        <v>2</v>
      </c>
      <c r="AV4" s="23" t="s">
        <v>1</v>
      </c>
      <c r="AW4" s="23" t="s">
        <v>2</v>
      </c>
      <c r="AX4" s="23" t="s">
        <v>1</v>
      </c>
      <c r="AY4" s="23" t="s">
        <v>2</v>
      </c>
      <c r="AZ4" s="23"/>
    </row>
    <row r="5" spans="1:52">
      <c r="A5" s="23">
        <v>1</v>
      </c>
      <c r="B5" s="23">
        <v>2</v>
      </c>
      <c r="C5" s="23">
        <v>-3000</v>
      </c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</row>
    <row r="6" spans="1:52">
      <c r="A6" s="23">
        <v>2</v>
      </c>
      <c r="B6" s="23">
        <v>2</v>
      </c>
      <c r="C6" s="23">
        <v>-3000</v>
      </c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</row>
    <row r="7" spans="1:52">
      <c r="A7" s="23">
        <v>3</v>
      </c>
      <c r="B7" s="23">
        <v>2</v>
      </c>
      <c r="C7" s="23">
        <v>-3000</v>
      </c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</row>
    <row r="8" spans="1:52">
      <c r="A8" s="23">
        <v>4</v>
      </c>
      <c r="B8" s="23">
        <v>2</v>
      </c>
      <c r="C8" s="23">
        <v>-3000</v>
      </c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</row>
    <row r="9" spans="1:52">
      <c r="A9" s="23">
        <v>5</v>
      </c>
      <c r="B9" s="23">
        <v>2</v>
      </c>
      <c r="C9" s="23">
        <v>-3000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52">
      <c r="A10" s="23">
        <v>6</v>
      </c>
      <c r="B10" s="23">
        <v>2</v>
      </c>
      <c r="C10" s="23">
        <v>-3000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52">
      <c r="A11" s="23">
        <v>7</v>
      </c>
      <c r="B11" s="23">
        <v>2</v>
      </c>
      <c r="C11" s="23">
        <v>-3000</v>
      </c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52">
      <c r="A12" s="23">
        <v>8</v>
      </c>
      <c r="B12" s="23">
        <v>2</v>
      </c>
      <c r="C12" s="23">
        <v>-3000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52">
      <c r="A13" s="23">
        <v>9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52">
      <c r="A14" s="23">
        <v>10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52">
      <c r="A15" s="23">
        <v>11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52">
      <c r="A16" s="23">
        <v>12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>
      <c r="A17" s="23">
        <v>13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>
      <c r="A18" s="23">
        <v>14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>
      <c r="A19" s="23">
        <v>15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>
      <c r="A20" s="23">
        <v>16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>
      <c r="A21" s="23">
        <v>17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>
      <c r="A22" s="23">
        <v>18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>
      <c r="A23" s="23">
        <v>19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>
      <c r="A24" s="23">
        <v>20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>
      <c r="A25" s="23">
        <v>21</v>
      </c>
      <c r="B25" s="23">
        <v>2</v>
      </c>
      <c r="C25" s="23">
        <v>-3000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</row>
    <row r="26" spans="1:52">
      <c r="A26" s="23">
        <v>22</v>
      </c>
      <c r="B26" s="23">
        <v>2</v>
      </c>
      <c r="C26" s="23">
        <v>-3000</v>
      </c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</row>
    <row r="27" spans="1:52">
      <c r="A27" s="23">
        <v>23</v>
      </c>
      <c r="B27" s="23">
        <v>2</v>
      </c>
      <c r="C27" s="23">
        <v>-3000</v>
      </c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</row>
    <row r="28" spans="1:52">
      <c r="A28" s="23">
        <v>24</v>
      </c>
      <c r="B28" s="23">
        <v>2</v>
      </c>
      <c r="C28" s="23">
        <v>-3000</v>
      </c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</row>
    <row r="29" spans="1:52">
      <c r="A29" s="23">
        <v>25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</row>
    <row r="30" spans="1:52" ht="15.75" thickBot="1"/>
    <row r="31" spans="1:52" ht="15.75" thickBot="1">
      <c r="B31" s="17">
        <f>SUM(B5:B29)</f>
        <v>24</v>
      </c>
      <c r="C31" s="18"/>
      <c r="D31" s="18">
        <f>SUM(D5:D29)</f>
        <v>0</v>
      </c>
      <c r="E31" s="18"/>
      <c r="F31" s="18">
        <f>SUM(F5:F29)</f>
        <v>0</v>
      </c>
      <c r="G31" s="18"/>
      <c r="H31" s="18">
        <f>SUM(H5:H29)</f>
        <v>0</v>
      </c>
      <c r="I31" s="18"/>
      <c r="J31" s="18">
        <f>SUM(J5:J29)</f>
        <v>0</v>
      </c>
      <c r="K31" s="18"/>
      <c r="L31" s="18">
        <f>SUM(L5:L29)</f>
        <v>0</v>
      </c>
      <c r="M31" s="18"/>
      <c r="N31" s="18">
        <f>SUM(N5:N29)</f>
        <v>0</v>
      </c>
      <c r="O31" s="18"/>
      <c r="P31" s="18">
        <f>SUM(P5:P29)</f>
        <v>0</v>
      </c>
      <c r="Q31" s="18"/>
      <c r="R31" s="18">
        <f>SUM(R5:R29)</f>
        <v>0</v>
      </c>
      <c r="S31" s="18"/>
      <c r="T31" s="18">
        <f>SUM(T5:T29)</f>
        <v>0</v>
      </c>
      <c r="U31" s="18"/>
      <c r="V31" s="18">
        <f>SUM(V5:V29)</f>
        <v>0</v>
      </c>
      <c r="W31" s="18"/>
      <c r="X31" s="18">
        <f>SUM(X5:X29)</f>
        <v>0</v>
      </c>
      <c r="Y31" s="18"/>
      <c r="Z31" s="18">
        <f>SUM(Z5:Z29)</f>
        <v>0</v>
      </c>
      <c r="AA31" s="18"/>
      <c r="AB31" s="18">
        <f>SUM(AB5:AB29)</f>
        <v>0</v>
      </c>
      <c r="AC31" s="18"/>
      <c r="AD31" s="18">
        <f>SUM(AD5:AD29)</f>
        <v>0</v>
      </c>
      <c r="AE31" s="18"/>
      <c r="AF31" s="18">
        <f>SUM(AF5:AF29)</f>
        <v>0</v>
      </c>
      <c r="AG31" s="18"/>
      <c r="AH31" s="18">
        <f>SUM(AH5:AH29)</f>
        <v>0</v>
      </c>
      <c r="AI31" s="18"/>
      <c r="AJ31" s="18">
        <f>SUM(AJ5:AJ29)</f>
        <v>0</v>
      </c>
      <c r="AK31" s="18"/>
      <c r="AL31" s="18">
        <f>SUM(AL5:AL29)</f>
        <v>0</v>
      </c>
      <c r="AM31" s="18"/>
      <c r="AN31" s="18">
        <f>SUM(AN5:AN29)</f>
        <v>0</v>
      </c>
      <c r="AO31" s="18"/>
      <c r="AP31" s="18">
        <f>SUM(AP5:AP29)</f>
        <v>0</v>
      </c>
      <c r="AQ31" s="18"/>
      <c r="AR31" s="18">
        <f>SUM(AR5:AR29)</f>
        <v>0</v>
      </c>
      <c r="AS31" s="18"/>
      <c r="AT31" s="18">
        <f>SUM(AT5:AT29)</f>
        <v>0</v>
      </c>
      <c r="AU31" s="18"/>
      <c r="AV31" s="18">
        <f>SUM(AV5:AV29)</f>
        <v>0</v>
      </c>
      <c r="AW31" s="18"/>
      <c r="AX31" s="18">
        <f>SUM(AX5:AX29)</f>
        <v>0</v>
      </c>
      <c r="AY31" s="1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rgb="FF99FF66"/>
  </sheetPr>
  <dimension ref="A1:AZ33"/>
  <sheetViews>
    <sheetView workbookViewId="0">
      <selection activeCell="A4" sqref="A4:AZ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14.7109375" style="1" bestFit="1" customWidth="1"/>
    <col min="7" max="7" width="19" style="1" bestFit="1" customWidth="1"/>
    <col min="8" max="8" width="14.7109375" style="1" bestFit="1" customWidth="1"/>
    <col min="9" max="9" width="19" style="1" bestFit="1" customWidth="1"/>
    <col min="10" max="10" width="14.7109375" style="1" bestFit="1" customWidth="1"/>
    <col min="11" max="11" width="19" style="1" bestFit="1" customWidth="1"/>
    <col min="12" max="12" width="14.7109375" style="1" bestFit="1" customWidth="1"/>
    <col min="13" max="13" width="19" style="1" bestFit="1" customWidth="1"/>
    <col min="14" max="14" width="14.7109375" style="1" bestFit="1" customWidth="1"/>
    <col min="15" max="15" width="19" style="1" bestFit="1" customWidth="1"/>
    <col min="16" max="16" width="14.7109375" style="1" bestFit="1" customWidth="1"/>
    <col min="17" max="17" width="19" style="1" bestFit="1" customWidth="1"/>
    <col min="18" max="18" width="14.7109375" style="1" bestFit="1" customWidth="1"/>
    <col min="19" max="19" width="19" style="1" bestFit="1" customWidth="1"/>
    <col min="20" max="20" width="14.7109375" style="1" bestFit="1" customWidth="1"/>
    <col min="21" max="21" width="19" style="1" bestFit="1" customWidth="1"/>
    <col min="22" max="22" width="14.7109375" style="1" bestFit="1" customWidth="1"/>
    <col min="23" max="23" width="19" style="1" bestFit="1" customWidth="1"/>
    <col min="24" max="24" width="14.7109375" style="1" bestFit="1" customWidth="1"/>
    <col min="25" max="25" width="19" style="1" bestFit="1" customWidth="1"/>
    <col min="26" max="26" width="14.7109375" style="1" bestFit="1" customWidth="1"/>
    <col min="27" max="27" width="19" style="1" bestFit="1" customWidth="1"/>
    <col min="28" max="28" width="14.7109375" style="1" bestFit="1" customWidth="1"/>
    <col min="29" max="29" width="19" style="1" bestFit="1" customWidth="1"/>
    <col min="30" max="30" width="14.7109375" style="1" bestFit="1" customWidth="1"/>
    <col min="31" max="31" width="19" style="1" bestFit="1" customWidth="1"/>
    <col min="32" max="32" width="14.7109375" style="1" bestFit="1" customWidth="1"/>
    <col min="33" max="33" width="19" style="1" bestFit="1" customWidth="1"/>
    <col min="34" max="34" width="14.7109375" style="1" bestFit="1" customWidth="1"/>
    <col min="35" max="35" width="19" style="1" bestFit="1" customWidth="1"/>
    <col min="36" max="36" width="14.7109375" style="1" bestFit="1" customWidth="1"/>
    <col min="37" max="37" width="19" style="1" bestFit="1" customWidth="1"/>
    <col min="38" max="38" width="14.7109375" style="1" bestFit="1" customWidth="1"/>
    <col min="39" max="39" width="19" style="1" bestFit="1" customWidth="1"/>
    <col min="40" max="40" width="14.7109375" style="1" bestFit="1" customWidth="1"/>
    <col min="41" max="41" width="19" style="1" bestFit="1" customWidth="1"/>
    <col min="42" max="42" width="14.7109375" style="1" bestFit="1" customWidth="1"/>
    <col min="43" max="43" width="19" style="1" bestFit="1" customWidth="1"/>
    <col min="44" max="44" width="14.7109375" style="1" bestFit="1" customWidth="1"/>
    <col min="45" max="45" width="19" style="1" bestFit="1" customWidth="1"/>
    <col min="46" max="46" width="14.7109375" style="1" bestFit="1" customWidth="1"/>
    <col min="47" max="47" width="19" style="1" bestFit="1" customWidth="1"/>
    <col min="48" max="48" width="14.7109375" style="1" bestFit="1" customWidth="1"/>
    <col min="49" max="49" width="19" style="1" bestFit="1" customWidth="1"/>
    <col min="50" max="50" width="14.7109375" style="1" bestFit="1" customWidth="1"/>
    <col min="51" max="51" width="19" style="1" bestFit="1" customWidth="1"/>
    <col min="52" max="16384" width="9.140625" style="1"/>
  </cols>
  <sheetData>
    <row r="1" spans="1:52" ht="21">
      <c r="A1" s="1" t="s">
        <v>50</v>
      </c>
      <c r="D1" s="20" t="s">
        <v>10</v>
      </c>
    </row>
    <row r="4" spans="1:52">
      <c r="A4" s="23" t="s">
        <v>0</v>
      </c>
      <c r="B4" s="23" t="s">
        <v>1</v>
      </c>
      <c r="C4" s="23" t="s">
        <v>2</v>
      </c>
      <c r="D4" s="23" t="s">
        <v>1</v>
      </c>
      <c r="E4" s="23" t="s">
        <v>2</v>
      </c>
      <c r="F4" s="23" t="s">
        <v>1</v>
      </c>
      <c r="G4" s="23" t="s">
        <v>2</v>
      </c>
      <c r="H4" s="23" t="s">
        <v>1</v>
      </c>
      <c r="I4" s="23" t="s">
        <v>2</v>
      </c>
      <c r="J4" s="23" t="s">
        <v>1</v>
      </c>
      <c r="K4" s="23" t="s">
        <v>2</v>
      </c>
      <c r="L4" s="23" t="s">
        <v>1</v>
      </c>
      <c r="M4" s="23" t="s">
        <v>2</v>
      </c>
      <c r="N4" s="23" t="s">
        <v>1</v>
      </c>
      <c r="O4" s="23" t="s">
        <v>2</v>
      </c>
      <c r="P4" s="23" t="s">
        <v>1</v>
      </c>
      <c r="Q4" s="23" t="s">
        <v>2</v>
      </c>
      <c r="R4" s="23" t="s">
        <v>1</v>
      </c>
      <c r="S4" s="23" t="s">
        <v>2</v>
      </c>
      <c r="T4" s="23" t="s">
        <v>1</v>
      </c>
      <c r="U4" s="23" t="s">
        <v>2</v>
      </c>
      <c r="V4" s="23" t="s">
        <v>1</v>
      </c>
      <c r="W4" s="23" t="s">
        <v>2</v>
      </c>
      <c r="X4" s="23" t="s">
        <v>1</v>
      </c>
      <c r="Y4" s="23" t="s">
        <v>2</v>
      </c>
      <c r="Z4" s="23" t="s">
        <v>1</v>
      </c>
      <c r="AA4" s="23" t="s">
        <v>2</v>
      </c>
      <c r="AB4" s="23" t="s">
        <v>1</v>
      </c>
      <c r="AC4" s="23" t="s">
        <v>2</v>
      </c>
      <c r="AD4" s="23" t="s">
        <v>1</v>
      </c>
      <c r="AE4" s="23" t="s">
        <v>2</v>
      </c>
      <c r="AF4" s="23" t="s">
        <v>1</v>
      </c>
      <c r="AG4" s="23" t="s">
        <v>2</v>
      </c>
      <c r="AH4" s="23" t="s">
        <v>1</v>
      </c>
      <c r="AI4" s="23" t="s">
        <v>2</v>
      </c>
      <c r="AJ4" s="23" t="s">
        <v>1</v>
      </c>
      <c r="AK4" s="23" t="s">
        <v>2</v>
      </c>
      <c r="AL4" s="23" t="s">
        <v>1</v>
      </c>
      <c r="AM4" s="23" t="s">
        <v>2</v>
      </c>
      <c r="AN4" s="23" t="s">
        <v>1</v>
      </c>
      <c r="AO4" s="23" t="s">
        <v>2</v>
      </c>
      <c r="AP4" s="23" t="s">
        <v>1</v>
      </c>
      <c r="AQ4" s="23" t="s">
        <v>2</v>
      </c>
      <c r="AR4" s="23" t="s">
        <v>1</v>
      </c>
      <c r="AS4" s="23" t="s">
        <v>2</v>
      </c>
      <c r="AT4" s="23" t="s">
        <v>1</v>
      </c>
      <c r="AU4" s="23" t="s">
        <v>2</v>
      </c>
      <c r="AV4" s="23" t="s">
        <v>1</v>
      </c>
      <c r="AW4" s="23" t="s">
        <v>2</v>
      </c>
      <c r="AX4" s="23" t="s">
        <v>1</v>
      </c>
      <c r="AY4" s="23" t="s">
        <v>2</v>
      </c>
      <c r="AZ4" s="23"/>
    </row>
    <row r="5" spans="1:52">
      <c r="A5" s="23">
        <v>1</v>
      </c>
      <c r="B5" s="23">
        <v>27.6</v>
      </c>
      <c r="C5" s="23">
        <v>-500</v>
      </c>
      <c r="D5" s="23">
        <v>0.7</v>
      </c>
      <c r="E5" s="23">
        <v>30</v>
      </c>
      <c r="F5" s="23">
        <v>3.2</v>
      </c>
      <c r="G5" s="23">
        <v>50</v>
      </c>
      <c r="H5" s="23">
        <v>3.3</v>
      </c>
      <c r="I5" s="23">
        <v>55</v>
      </c>
      <c r="J5" s="23">
        <v>1.8</v>
      </c>
      <c r="K5" s="23">
        <v>60</v>
      </c>
      <c r="L5" s="23">
        <v>0.6</v>
      </c>
      <c r="M5" s="23">
        <v>65</v>
      </c>
      <c r="N5" s="23">
        <v>2.4</v>
      </c>
      <c r="O5" s="23">
        <v>70</v>
      </c>
      <c r="P5" s="23">
        <v>1.8</v>
      </c>
      <c r="Q5" s="23">
        <v>75</v>
      </c>
      <c r="R5" s="23">
        <v>3.4</v>
      </c>
      <c r="S5" s="23">
        <v>99</v>
      </c>
      <c r="T5" s="23">
        <v>1.1000000000000001</v>
      </c>
      <c r="U5" s="23">
        <v>100</v>
      </c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</row>
    <row r="6" spans="1:52">
      <c r="A6" s="23">
        <v>2</v>
      </c>
      <c r="B6" s="23">
        <v>27.6</v>
      </c>
      <c r="C6" s="23">
        <v>-500</v>
      </c>
      <c r="D6" s="23">
        <v>0.7</v>
      </c>
      <c r="E6" s="23">
        <v>30</v>
      </c>
      <c r="F6" s="23">
        <v>3.2</v>
      </c>
      <c r="G6" s="23">
        <v>50</v>
      </c>
      <c r="H6" s="23">
        <v>3.3</v>
      </c>
      <c r="I6" s="23">
        <v>55</v>
      </c>
      <c r="J6" s="23">
        <v>1.8</v>
      </c>
      <c r="K6" s="23">
        <v>60</v>
      </c>
      <c r="L6" s="23">
        <v>0.6</v>
      </c>
      <c r="M6" s="23">
        <v>65</v>
      </c>
      <c r="N6" s="23">
        <v>2.4</v>
      </c>
      <c r="O6" s="23">
        <v>70</v>
      </c>
      <c r="P6" s="23">
        <v>1.8</v>
      </c>
      <c r="Q6" s="23">
        <v>75</v>
      </c>
      <c r="R6" s="23">
        <v>3.4</v>
      </c>
      <c r="S6" s="23">
        <v>99</v>
      </c>
      <c r="T6" s="23">
        <v>1.1000000000000001</v>
      </c>
      <c r="U6" s="23">
        <v>100</v>
      </c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</row>
    <row r="7" spans="1:52">
      <c r="A7" s="23">
        <v>3</v>
      </c>
      <c r="B7" s="23">
        <v>27.6</v>
      </c>
      <c r="C7" s="23">
        <v>-500</v>
      </c>
      <c r="D7" s="23">
        <v>0.7</v>
      </c>
      <c r="E7" s="23">
        <v>30</v>
      </c>
      <c r="F7" s="23">
        <v>3.2</v>
      </c>
      <c r="G7" s="23">
        <v>50</v>
      </c>
      <c r="H7" s="23">
        <v>3.3</v>
      </c>
      <c r="I7" s="23">
        <v>55</v>
      </c>
      <c r="J7" s="23">
        <v>1.8</v>
      </c>
      <c r="K7" s="23">
        <v>60</v>
      </c>
      <c r="L7" s="23">
        <v>0.6</v>
      </c>
      <c r="M7" s="23">
        <v>65</v>
      </c>
      <c r="N7" s="23">
        <v>2.4</v>
      </c>
      <c r="O7" s="23">
        <v>70</v>
      </c>
      <c r="P7" s="23">
        <v>1.8</v>
      </c>
      <c r="Q7" s="23">
        <v>75</v>
      </c>
      <c r="R7" s="23">
        <v>3.4</v>
      </c>
      <c r="S7" s="23">
        <v>99</v>
      </c>
      <c r="T7" s="23">
        <v>1.1000000000000001</v>
      </c>
      <c r="U7" s="23">
        <v>100</v>
      </c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</row>
    <row r="8" spans="1:52">
      <c r="A8" s="23">
        <v>4</v>
      </c>
      <c r="B8" s="23">
        <v>27.6</v>
      </c>
      <c r="C8" s="23">
        <v>-500</v>
      </c>
      <c r="D8" s="23">
        <v>0.7</v>
      </c>
      <c r="E8" s="23">
        <v>30</v>
      </c>
      <c r="F8" s="23">
        <v>3.2</v>
      </c>
      <c r="G8" s="23">
        <v>50</v>
      </c>
      <c r="H8" s="23">
        <v>3.3</v>
      </c>
      <c r="I8" s="23">
        <v>55</v>
      </c>
      <c r="J8" s="23">
        <v>1.8</v>
      </c>
      <c r="K8" s="23">
        <v>60</v>
      </c>
      <c r="L8" s="23">
        <v>0.6</v>
      </c>
      <c r="M8" s="23">
        <v>65</v>
      </c>
      <c r="N8" s="23">
        <v>2.4</v>
      </c>
      <c r="O8" s="23">
        <v>70</v>
      </c>
      <c r="P8" s="23">
        <v>1.8</v>
      </c>
      <c r="Q8" s="23">
        <v>75</v>
      </c>
      <c r="R8" s="23">
        <v>3.4</v>
      </c>
      <c r="S8" s="23">
        <v>99</v>
      </c>
      <c r="T8" s="23">
        <v>1.1000000000000001</v>
      </c>
      <c r="U8" s="23">
        <v>100</v>
      </c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</row>
    <row r="9" spans="1:52">
      <c r="A9" s="23">
        <v>5</v>
      </c>
      <c r="B9" s="23">
        <v>27.6</v>
      </c>
      <c r="C9" s="23">
        <v>-500</v>
      </c>
      <c r="D9" s="23">
        <v>0.7</v>
      </c>
      <c r="E9" s="23">
        <v>30</v>
      </c>
      <c r="F9" s="23">
        <v>3.2</v>
      </c>
      <c r="G9" s="23">
        <v>50</v>
      </c>
      <c r="H9" s="23">
        <v>3.3</v>
      </c>
      <c r="I9" s="23">
        <v>55</v>
      </c>
      <c r="J9" s="23">
        <v>1.8</v>
      </c>
      <c r="K9" s="23">
        <v>60</v>
      </c>
      <c r="L9" s="23">
        <v>0.6</v>
      </c>
      <c r="M9" s="23">
        <v>65</v>
      </c>
      <c r="N9" s="23">
        <v>2.4</v>
      </c>
      <c r="O9" s="23">
        <v>70</v>
      </c>
      <c r="P9" s="23">
        <v>1.8</v>
      </c>
      <c r="Q9" s="23">
        <v>75</v>
      </c>
      <c r="R9" s="23">
        <v>3.4</v>
      </c>
      <c r="S9" s="23">
        <v>99</v>
      </c>
      <c r="T9" s="23">
        <v>1.1000000000000001</v>
      </c>
      <c r="U9" s="23">
        <v>100</v>
      </c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52">
      <c r="A10" s="23">
        <v>6</v>
      </c>
      <c r="B10" s="23">
        <v>27.6</v>
      </c>
      <c r="C10" s="23">
        <v>-500</v>
      </c>
      <c r="D10" s="23">
        <v>0.7</v>
      </c>
      <c r="E10" s="23">
        <v>30</v>
      </c>
      <c r="F10" s="23">
        <v>3.2</v>
      </c>
      <c r="G10" s="23">
        <v>50</v>
      </c>
      <c r="H10" s="23">
        <v>3.3</v>
      </c>
      <c r="I10" s="23">
        <v>55</v>
      </c>
      <c r="J10" s="23">
        <v>1.8</v>
      </c>
      <c r="K10" s="23">
        <v>60</v>
      </c>
      <c r="L10" s="23">
        <v>0.6</v>
      </c>
      <c r="M10" s="23">
        <v>65</v>
      </c>
      <c r="N10" s="23">
        <v>2.4</v>
      </c>
      <c r="O10" s="23">
        <v>70</v>
      </c>
      <c r="P10" s="23">
        <v>1.8</v>
      </c>
      <c r="Q10" s="23">
        <v>75</v>
      </c>
      <c r="R10" s="23">
        <v>3.4</v>
      </c>
      <c r="S10" s="23">
        <v>99</v>
      </c>
      <c r="T10" s="23">
        <v>1.1000000000000001</v>
      </c>
      <c r="U10" s="23">
        <v>100</v>
      </c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52">
      <c r="A11" s="23">
        <v>7</v>
      </c>
      <c r="B11" s="23">
        <v>27.6</v>
      </c>
      <c r="C11" s="23">
        <v>-500</v>
      </c>
      <c r="D11" s="23">
        <v>1.3</v>
      </c>
      <c r="E11" s="23">
        <v>40</v>
      </c>
      <c r="F11" s="23">
        <v>3.2</v>
      </c>
      <c r="G11" s="23">
        <v>50</v>
      </c>
      <c r="H11" s="23">
        <v>1.9</v>
      </c>
      <c r="I11" s="23">
        <v>55</v>
      </c>
      <c r="J11" s="23">
        <v>4.2</v>
      </c>
      <c r="K11" s="23">
        <v>60</v>
      </c>
      <c r="L11" s="23">
        <v>0.6</v>
      </c>
      <c r="M11" s="23">
        <v>65</v>
      </c>
      <c r="N11" s="23">
        <v>2.4</v>
      </c>
      <c r="O11" s="23">
        <v>70</v>
      </c>
      <c r="P11" s="23">
        <v>1.8</v>
      </c>
      <c r="Q11" s="23">
        <v>75</v>
      </c>
      <c r="R11" s="23">
        <v>0.7</v>
      </c>
      <c r="S11" s="23">
        <v>80</v>
      </c>
      <c r="T11" s="23">
        <v>3.4</v>
      </c>
      <c r="U11" s="23">
        <v>99</v>
      </c>
      <c r="V11" s="23">
        <v>1.1000000000000001</v>
      </c>
      <c r="W11" s="23">
        <v>100</v>
      </c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52">
      <c r="A12" s="23">
        <v>8</v>
      </c>
      <c r="B12" s="23">
        <v>35.6</v>
      </c>
      <c r="C12" s="23">
        <v>-500</v>
      </c>
      <c r="D12" s="23">
        <v>1.8</v>
      </c>
      <c r="E12" s="23">
        <v>35</v>
      </c>
      <c r="F12" s="23">
        <v>3.6</v>
      </c>
      <c r="G12" s="23">
        <v>50</v>
      </c>
      <c r="H12" s="23">
        <v>2</v>
      </c>
      <c r="I12" s="23">
        <v>55</v>
      </c>
      <c r="J12" s="23">
        <v>1.8</v>
      </c>
      <c r="K12" s="23">
        <v>75</v>
      </c>
      <c r="L12" s="23">
        <v>0.7</v>
      </c>
      <c r="M12" s="23">
        <v>80</v>
      </c>
      <c r="N12" s="23">
        <v>3.4</v>
      </c>
      <c r="O12" s="23">
        <v>99</v>
      </c>
      <c r="P12" s="23">
        <v>1.1000000000000001</v>
      </c>
      <c r="Q12" s="23">
        <v>100</v>
      </c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52">
      <c r="A13" s="23">
        <v>9</v>
      </c>
      <c r="B13" s="23">
        <v>38.1</v>
      </c>
      <c r="C13" s="23">
        <v>-500</v>
      </c>
      <c r="D13" s="23">
        <v>1.8</v>
      </c>
      <c r="E13" s="23">
        <v>35</v>
      </c>
      <c r="F13" s="23">
        <v>3.6</v>
      </c>
      <c r="G13" s="23">
        <v>50</v>
      </c>
      <c r="H13" s="23">
        <v>1.8</v>
      </c>
      <c r="I13" s="23">
        <v>75</v>
      </c>
      <c r="J13" s="23">
        <v>0.7</v>
      </c>
      <c r="K13" s="23">
        <v>80</v>
      </c>
      <c r="L13" s="23">
        <v>3.4</v>
      </c>
      <c r="M13" s="23">
        <v>99</v>
      </c>
      <c r="N13" s="23">
        <v>1.1000000000000001</v>
      </c>
      <c r="O13" s="23">
        <v>100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52">
      <c r="A14" s="23">
        <v>10</v>
      </c>
      <c r="B14" s="23">
        <v>38.9</v>
      </c>
      <c r="C14" s="23">
        <v>-500</v>
      </c>
      <c r="D14" s="23">
        <v>1.8</v>
      </c>
      <c r="E14" s="23">
        <v>35</v>
      </c>
      <c r="F14" s="23">
        <v>3.6</v>
      </c>
      <c r="G14" s="23">
        <v>50</v>
      </c>
      <c r="H14" s="23">
        <v>1.8</v>
      </c>
      <c r="I14" s="23">
        <v>75</v>
      </c>
      <c r="J14" s="23">
        <v>3.4</v>
      </c>
      <c r="K14" s="23">
        <v>99</v>
      </c>
      <c r="L14" s="23">
        <v>1.1000000000000001</v>
      </c>
      <c r="M14" s="23">
        <v>100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52">
      <c r="A15" s="23">
        <v>11</v>
      </c>
      <c r="B15" s="23">
        <v>38.9</v>
      </c>
      <c r="C15" s="23">
        <v>-500</v>
      </c>
      <c r="D15" s="23">
        <v>1.8</v>
      </c>
      <c r="E15" s="23">
        <v>35</v>
      </c>
      <c r="F15" s="23">
        <v>3.6</v>
      </c>
      <c r="G15" s="23">
        <v>50</v>
      </c>
      <c r="H15" s="23">
        <v>1.8</v>
      </c>
      <c r="I15" s="23">
        <v>75</v>
      </c>
      <c r="J15" s="23">
        <v>3.4</v>
      </c>
      <c r="K15" s="23">
        <v>99</v>
      </c>
      <c r="L15" s="23">
        <v>1.1000000000000001</v>
      </c>
      <c r="M15" s="23">
        <v>100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52">
      <c r="A16" s="23">
        <v>12</v>
      </c>
      <c r="B16" s="23">
        <v>38.9</v>
      </c>
      <c r="C16" s="23">
        <v>-500</v>
      </c>
      <c r="D16" s="23">
        <v>1.8</v>
      </c>
      <c r="E16" s="23">
        <v>35</v>
      </c>
      <c r="F16" s="23">
        <v>3.6</v>
      </c>
      <c r="G16" s="23">
        <v>50</v>
      </c>
      <c r="H16" s="23">
        <v>1.8</v>
      </c>
      <c r="I16" s="23">
        <v>75</v>
      </c>
      <c r="J16" s="23">
        <v>3.4</v>
      </c>
      <c r="K16" s="23">
        <v>99</v>
      </c>
      <c r="L16" s="23">
        <v>1.1000000000000001</v>
      </c>
      <c r="M16" s="23">
        <v>100</v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>
      <c r="A17" s="23">
        <v>13</v>
      </c>
      <c r="B17" s="23">
        <v>38.9</v>
      </c>
      <c r="C17" s="23">
        <v>-500</v>
      </c>
      <c r="D17" s="23">
        <v>1.8</v>
      </c>
      <c r="E17" s="23">
        <v>35</v>
      </c>
      <c r="F17" s="23">
        <v>3.6</v>
      </c>
      <c r="G17" s="23">
        <v>50</v>
      </c>
      <c r="H17" s="23">
        <v>1.8</v>
      </c>
      <c r="I17" s="23">
        <v>75</v>
      </c>
      <c r="J17" s="23">
        <v>3.4</v>
      </c>
      <c r="K17" s="23">
        <v>99</v>
      </c>
      <c r="L17" s="23">
        <v>1.1000000000000001</v>
      </c>
      <c r="M17" s="23">
        <v>100</v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>
      <c r="A18" s="23">
        <v>14</v>
      </c>
      <c r="B18" s="23">
        <v>38.9</v>
      </c>
      <c r="C18" s="23">
        <v>-500</v>
      </c>
      <c r="D18" s="23">
        <v>1.8</v>
      </c>
      <c r="E18" s="23">
        <v>35</v>
      </c>
      <c r="F18" s="23">
        <v>3.6</v>
      </c>
      <c r="G18" s="23">
        <v>50</v>
      </c>
      <c r="H18" s="23">
        <v>1.8</v>
      </c>
      <c r="I18" s="23">
        <v>75</v>
      </c>
      <c r="J18" s="23">
        <v>3.4</v>
      </c>
      <c r="K18" s="23">
        <v>99</v>
      </c>
      <c r="L18" s="23">
        <v>1.1000000000000001</v>
      </c>
      <c r="M18" s="23">
        <v>100</v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>
      <c r="A19" s="23">
        <v>15</v>
      </c>
      <c r="B19" s="23">
        <v>38.9</v>
      </c>
      <c r="C19" s="23">
        <v>-500</v>
      </c>
      <c r="D19" s="23">
        <v>1.8</v>
      </c>
      <c r="E19" s="23">
        <v>35</v>
      </c>
      <c r="F19" s="23">
        <v>3.6</v>
      </c>
      <c r="G19" s="23">
        <v>50</v>
      </c>
      <c r="H19" s="23">
        <v>1.8</v>
      </c>
      <c r="I19" s="23">
        <v>75</v>
      </c>
      <c r="J19" s="23">
        <v>3.4</v>
      </c>
      <c r="K19" s="23">
        <v>99</v>
      </c>
      <c r="L19" s="23">
        <v>1.1000000000000001</v>
      </c>
      <c r="M19" s="23">
        <v>100</v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>
      <c r="A20" s="23">
        <v>16</v>
      </c>
      <c r="B20" s="23">
        <v>38.9</v>
      </c>
      <c r="C20" s="23">
        <v>-500</v>
      </c>
      <c r="D20" s="23">
        <v>1.8</v>
      </c>
      <c r="E20" s="23">
        <v>35</v>
      </c>
      <c r="F20" s="23">
        <v>3.6</v>
      </c>
      <c r="G20" s="23">
        <v>50</v>
      </c>
      <c r="H20" s="23">
        <v>1.8</v>
      </c>
      <c r="I20" s="23">
        <v>75</v>
      </c>
      <c r="J20" s="23">
        <v>3.4</v>
      </c>
      <c r="K20" s="23">
        <v>99</v>
      </c>
      <c r="L20" s="23">
        <v>1.1000000000000001</v>
      </c>
      <c r="M20" s="23">
        <v>100</v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>
      <c r="A21" s="23">
        <v>17</v>
      </c>
      <c r="B21" s="23">
        <v>38.200000000000003</v>
      </c>
      <c r="C21" s="23">
        <v>-500</v>
      </c>
      <c r="D21" s="23">
        <v>1.8</v>
      </c>
      <c r="E21" s="23">
        <v>35</v>
      </c>
      <c r="F21" s="23">
        <v>3.6</v>
      </c>
      <c r="G21" s="23">
        <v>50</v>
      </c>
      <c r="H21" s="23">
        <v>0.7</v>
      </c>
      <c r="I21" s="23">
        <v>70</v>
      </c>
      <c r="J21" s="23">
        <v>1.8</v>
      </c>
      <c r="K21" s="23">
        <v>75</v>
      </c>
      <c r="L21" s="23">
        <v>3.4</v>
      </c>
      <c r="M21" s="23">
        <v>99</v>
      </c>
      <c r="N21" s="23">
        <v>1.1000000000000001</v>
      </c>
      <c r="O21" s="23">
        <v>100</v>
      </c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>
      <c r="A22" s="23">
        <v>18</v>
      </c>
      <c r="B22" s="23">
        <v>38.200000000000003</v>
      </c>
      <c r="C22" s="23">
        <v>-500</v>
      </c>
      <c r="D22" s="23">
        <v>1.8</v>
      </c>
      <c r="E22" s="23">
        <v>35</v>
      </c>
      <c r="F22" s="23">
        <v>3.6</v>
      </c>
      <c r="G22" s="23">
        <v>50</v>
      </c>
      <c r="H22" s="23">
        <v>0.8</v>
      </c>
      <c r="I22" s="23">
        <v>70</v>
      </c>
      <c r="J22" s="23">
        <v>1.8</v>
      </c>
      <c r="K22" s="23">
        <v>75</v>
      </c>
      <c r="L22" s="23">
        <v>0.7</v>
      </c>
      <c r="M22" s="23">
        <v>80</v>
      </c>
      <c r="N22" s="23">
        <v>3.4</v>
      </c>
      <c r="O22" s="23">
        <v>99</v>
      </c>
      <c r="P22" s="23">
        <v>1.1000000000000001</v>
      </c>
      <c r="Q22" s="23">
        <v>125</v>
      </c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>
      <c r="A23" s="23">
        <v>19</v>
      </c>
      <c r="B23" s="23">
        <v>38.200000000000003</v>
      </c>
      <c r="C23" s="23">
        <v>-500</v>
      </c>
      <c r="D23" s="23">
        <v>1.8</v>
      </c>
      <c r="E23" s="23">
        <v>35</v>
      </c>
      <c r="F23" s="23">
        <v>3.6</v>
      </c>
      <c r="G23" s="23">
        <v>50</v>
      </c>
      <c r="H23" s="23">
        <v>0.8</v>
      </c>
      <c r="I23" s="23">
        <v>70</v>
      </c>
      <c r="J23" s="23">
        <v>1.8</v>
      </c>
      <c r="K23" s="23">
        <v>75</v>
      </c>
      <c r="L23" s="23">
        <v>0.7</v>
      </c>
      <c r="M23" s="23">
        <v>80</v>
      </c>
      <c r="N23" s="23">
        <v>3.4</v>
      </c>
      <c r="O23" s="23">
        <v>99</v>
      </c>
      <c r="P23" s="23">
        <v>1.1000000000000001</v>
      </c>
      <c r="Q23" s="23">
        <v>125</v>
      </c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>
      <c r="A24" s="23">
        <v>20</v>
      </c>
      <c r="B24" s="23">
        <v>38.200000000000003</v>
      </c>
      <c r="C24" s="23">
        <v>-500</v>
      </c>
      <c r="D24" s="23">
        <v>1.8</v>
      </c>
      <c r="E24" s="23">
        <v>35</v>
      </c>
      <c r="F24" s="23">
        <v>3.6</v>
      </c>
      <c r="G24" s="23">
        <v>50</v>
      </c>
      <c r="H24" s="23">
        <v>0.8</v>
      </c>
      <c r="I24" s="23">
        <v>70</v>
      </c>
      <c r="J24" s="23">
        <v>1.8</v>
      </c>
      <c r="K24" s="23">
        <v>75</v>
      </c>
      <c r="L24" s="23">
        <v>0.7</v>
      </c>
      <c r="M24" s="23">
        <v>80</v>
      </c>
      <c r="N24" s="23">
        <v>3.4</v>
      </c>
      <c r="O24" s="23">
        <v>99</v>
      </c>
      <c r="P24" s="23">
        <v>1.1000000000000001</v>
      </c>
      <c r="Q24" s="23">
        <v>110</v>
      </c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>
      <c r="A25" s="23">
        <v>21</v>
      </c>
      <c r="B25" s="23">
        <v>35.700000000000003</v>
      </c>
      <c r="C25" s="23">
        <v>-500</v>
      </c>
      <c r="D25" s="23">
        <v>1.8</v>
      </c>
      <c r="E25" s="23">
        <v>35</v>
      </c>
      <c r="F25" s="23">
        <v>3.6</v>
      </c>
      <c r="G25" s="23">
        <v>50</v>
      </c>
      <c r="H25" s="23">
        <v>2</v>
      </c>
      <c r="I25" s="23">
        <v>55</v>
      </c>
      <c r="J25" s="23">
        <v>0.7</v>
      </c>
      <c r="K25" s="23">
        <v>60</v>
      </c>
      <c r="L25" s="23">
        <v>0.8</v>
      </c>
      <c r="M25" s="23">
        <v>70</v>
      </c>
      <c r="N25" s="23">
        <v>1.8</v>
      </c>
      <c r="O25" s="23">
        <v>75</v>
      </c>
      <c r="P25" s="23">
        <v>3.4</v>
      </c>
      <c r="Q25" s="23">
        <v>99</v>
      </c>
      <c r="R25" s="23">
        <v>1.1000000000000001</v>
      </c>
      <c r="S25" s="23">
        <v>100</v>
      </c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</row>
    <row r="26" spans="1:52">
      <c r="A26" s="23">
        <v>22</v>
      </c>
      <c r="B26" s="23">
        <v>31.9</v>
      </c>
      <c r="C26" s="23">
        <v>-500</v>
      </c>
      <c r="D26" s="23">
        <v>1.8</v>
      </c>
      <c r="E26" s="23">
        <v>35</v>
      </c>
      <c r="F26" s="23">
        <v>3.6</v>
      </c>
      <c r="G26" s="23">
        <v>50</v>
      </c>
      <c r="H26" s="23">
        <v>2</v>
      </c>
      <c r="I26" s="23">
        <v>55</v>
      </c>
      <c r="J26" s="23">
        <v>3.1</v>
      </c>
      <c r="K26" s="23">
        <v>60</v>
      </c>
      <c r="L26" s="23">
        <v>0.8</v>
      </c>
      <c r="M26" s="23">
        <v>70</v>
      </c>
      <c r="N26" s="23">
        <v>1.8</v>
      </c>
      <c r="O26" s="23">
        <v>75</v>
      </c>
      <c r="P26" s="23">
        <v>3.4</v>
      </c>
      <c r="Q26" s="23">
        <v>99</v>
      </c>
      <c r="R26" s="23">
        <v>1.1000000000000001</v>
      </c>
      <c r="S26" s="23">
        <v>100</v>
      </c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</row>
    <row r="27" spans="1:52">
      <c r="A27" s="23">
        <v>23</v>
      </c>
      <c r="B27" s="23">
        <v>31.9</v>
      </c>
      <c r="C27" s="23">
        <v>-500</v>
      </c>
      <c r="D27" s="23">
        <v>1.8</v>
      </c>
      <c r="E27" s="23">
        <v>35</v>
      </c>
      <c r="F27" s="23">
        <v>3.6</v>
      </c>
      <c r="G27" s="23">
        <v>50</v>
      </c>
      <c r="H27" s="23">
        <v>2</v>
      </c>
      <c r="I27" s="23">
        <v>55</v>
      </c>
      <c r="J27" s="23">
        <v>0.7</v>
      </c>
      <c r="K27" s="23">
        <v>60</v>
      </c>
      <c r="L27" s="23">
        <v>1.8</v>
      </c>
      <c r="M27" s="23">
        <v>75</v>
      </c>
      <c r="N27" s="23">
        <v>3.4</v>
      </c>
      <c r="O27" s="23">
        <v>99</v>
      </c>
      <c r="P27" s="23">
        <v>1.1000000000000001</v>
      </c>
      <c r="Q27" s="23">
        <v>100</v>
      </c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</row>
    <row r="28" spans="1:52">
      <c r="A28" s="23">
        <v>24</v>
      </c>
      <c r="B28" s="23">
        <v>27.7</v>
      </c>
      <c r="C28" s="23">
        <v>-500</v>
      </c>
      <c r="D28" s="23">
        <v>1.3</v>
      </c>
      <c r="E28" s="23">
        <v>40</v>
      </c>
      <c r="F28" s="23">
        <v>1.2</v>
      </c>
      <c r="G28" s="23">
        <v>50</v>
      </c>
      <c r="H28" s="23">
        <v>3.9</v>
      </c>
      <c r="I28" s="23">
        <v>55</v>
      </c>
      <c r="J28" s="23">
        <v>2.5</v>
      </c>
      <c r="K28" s="23">
        <v>60</v>
      </c>
      <c r="L28" s="23">
        <v>0.6</v>
      </c>
      <c r="M28" s="23">
        <v>65</v>
      </c>
      <c r="N28" s="23">
        <v>2.4</v>
      </c>
      <c r="O28" s="23">
        <v>70</v>
      </c>
      <c r="P28" s="23">
        <v>1.8</v>
      </c>
      <c r="Q28" s="23">
        <v>75</v>
      </c>
      <c r="R28" s="23">
        <v>3.4</v>
      </c>
      <c r="S28" s="23">
        <v>99</v>
      </c>
      <c r="T28" s="23">
        <v>1.1000000000000001</v>
      </c>
      <c r="U28" s="23">
        <v>100</v>
      </c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</row>
    <row r="29" spans="1:52">
      <c r="A29" s="23">
        <v>25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</row>
    <row r="30" spans="1:52" ht="15.75" thickBot="1"/>
    <row r="31" spans="1:52" ht="15.75" thickBot="1">
      <c r="B31" s="17">
        <f>SUM(B5:B29)</f>
        <v>819.2</v>
      </c>
      <c r="C31" s="18"/>
      <c r="D31" s="18">
        <f>SUM(D5:D29)</f>
        <v>35.6</v>
      </c>
      <c r="E31" s="18"/>
      <c r="F31" s="18">
        <f>SUM(F5:F29)</f>
        <v>81.199999999999989</v>
      </c>
      <c r="G31" s="18"/>
      <c r="H31" s="18">
        <f>SUM(H5:H29)</f>
        <v>51.099999999999987</v>
      </c>
      <c r="I31" s="18"/>
      <c r="J31" s="18">
        <f>SUM(J5:J29)</f>
        <v>55.499999999999986</v>
      </c>
      <c r="K31" s="18"/>
      <c r="L31" s="18">
        <f>SUM(L5:L29)</f>
        <v>25.5</v>
      </c>
      <c r="M31" s="18"/>
      <c r="N31" s="18">
        <f>SUM(N5:N29)</f>
        <v>41.999999999999993</v>
      </c>
      <c r="O31" s="18"/>
      <c r="P31" s="18">
        <f>SUM(P5:P29)</f>
        <v>26.7</v>
      </c>
      <c r="Q31" s="18"/>
      <c r="R31" s="18">
        <f>SUM(R5:R29)</f>
        <v>26.7</v>
      </c>
      <c r="S31" s="18"/>
      <c r="T31" s="18">
        <f>SUM(T5:T29)</f>
        <v>11.1</v>
      </c>
      <c r="U31" s="18"/>
      <c r="V31" s="18">
        <f>SUM(V5:V29)</f>
        <v>1.1000000000000001</v>
      </c>
      <c r="W31" s="18"/>
      <c r="X31" s="18">
        <f>SUM(X5:X29)</f>
        <v>0</v>
      </c>
      <c r="Y31" s="18"/>
      <c r="Z31" s="18">
        <f>SUM(Z5:Z29)</f>
        <v>0</v>
      </c>
      <c r="AA31" s="18"/>
      <c r="AB31" s="18">
        <f>SUM(AB5:AB29)</f>
        <v>0</v>
      </c>
      <c r="AC31" s="18"/>
      <c r="AD31" s="18">
        <f>SUM(AD5:AD29)</f>
        <v>0</v>
      </c>
      <c r="AE31" s="18"/>
      <c r="AF31" s="18">
        <f>SUM(AF5:AF29)</f>
        <v>0</v>
      </c>
      <c r="AG31" s="18"/>
      <c r="AH31" s="18">
        <f>SUM(AH5:AH29)</f>
        <v>0</v>
      </c>
      <c r="AI31" s="18"/>
      <c r="AJ31" s="18">
        <f>SUM(AJ5:AJ29)</f>
        <v>0</v>
      </c>
      <c r="AK31" s="18"/>
      <c r="AL31" s="18">
        <f>SUM(AL5:AL29)</f>
        <v>0</v>
      </c>
      <c r="AM31" s="18"/>
      <c r="AN31" s="18">
        <f>SUM(AN5:AN29)</f>
        <v>0</v>
      </c>
      <c r="AO31" s="18"/>
      <c r="AP31" s="18">
        <f>SUM(AP5:AP29)</f>
        <v>0</v>
      </c>
      <c r="AQ31" s="18"/>
      <c r="AR31" s="18">
        <f>SUM(AR5:AR29)</f>
        <v>0</v>
      </c>
      <c r="AS31" s="18"/>
      <c r="AT31" s="18">
        <f>SUM(AT5:AT29)</f>
        <v>0</v>
      </c>
      <c r="AU31" s="18"/>
      <c r="AV31" s="18">
        <f>SUM(AV5:AV29)</f>
        <v>0</v>
      </c>
      <c r="AW31" s="18"/>
      <c r="AX31" s="18">
        <f>SUM(AX5:AX29)</f>
        <v>0</v>
      </c>
      <c r="AY31" s="18"/>
    </row>
    <row r="32" spans="1:52" ht="15.75" thickBot="1"/>
    <row r="33" spans="1:2" ht="15.75" thickBot="1">
      <c r="A33" s="45" t="s">
        <v>26</v>
      </c>
      <c r="B33" s="46">
        <f>SUM(B31:AY31)</f>
        <v>1175.6999999999998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H31"/>
  <sheetViews>
    <sheetView workbookViewId="0">
      <selection activeCell="F5" sqref="F5:F29"/>
    </sheetView>
  </sheetViews>
  <sheetFormatPr defaultRowHeight="15"/>
  <cols>
    <col min="1" max="1" width="16.28515625" style="1" customWidth="1"/>
    <col min="2" max="2" width="14.7109375" style="1" bestFit="1" customWidth="1"/>
    <col min="3" max="3" width="19" style="1" bestFit="1" customWidth="1"/>
    <col min="4" max="4" width="14.7109375" style="1" bestFit="1" customWidth="1"/>
    <col min="5" max="5" width="19" style="1" bestFit="1" customWidth="1"/>
    <col min="6" max="6" width="23.85546875" style="1" customWidth="1"/>
    <col min="7" max="7" width="33.85546875" style="1" customWidth="1"/>
    <col min="8" max="8" width="30.42578125" style="1" customWidth="1"/>
    <col min="9" max="16384" width="9.140625" style="1"/>
  </cols>
  <sheetData>
    <row r="1" spans="1:8" ht="21">
      <c r="A1" s="1" t="s">
        <v>5</v>
      </c>
      <c r="D1" s="37" t="s">
        <v>18</v>
      </c>
    </row>
    <row r="4" spans="1:8">
      <c r="A4" s="23" t="s">
        <v>0</v>
      </c>
      <c r="B4" s="41" t="s">
        <v>19</v>
      </c>
      <c r="C4" s="41" t="s">
        <v>20</v>
      </c>
      <c r="D4" s="40" t="s">
        <v>21</v>
      </c>
      <c r="E4" s="40" t="s">
        <v>22</v>
      </c>
      <c r="F4" s="42" t="s">
        <v>23</v>
      </c>
      <c r="G4" s="41" t="s">
        <v>24</v>
      </c>
      <c r="H4" s="40" t="s">
        <v>25</v>
      </c>
    </row>
    <row r="5" spans="1:8">
      <c r="A5" s="43">
        <v>1</v>
      </c>
      <c r="B5" s="43">
        <f>'ETS Buy'!B5</f>
        <v>0</v>
      </c>
      <c r="C5" s="43">
        <f>'G&amp;P buy'!B5</f>
        <v>0</v>
      </c>
      <c r="D5" s="43">
        <f>'ETS sell'!B5</f>
        <v>2</v>
      </c>
      <c r="E5" s="44">
        <f>'G&amp;P sell'!B5</f>
        <v>56.4</v>
      </c>
      <c r="F5" s="44">
        <f>E5+D5-C5-B5</f>
        <v>58.4</v>
      </c>
      <c r="G5" s="43">
        <f>IF(F5&lt;0,-F5,0)</f>
        <v>0</v>
      </c>
      <c r="H5" s="43">
        <f>IF(F5&gt;0,F5,0)</f>
        <v>58.4</v>
      </c>
    </row>
    <row r="6" spans="1:8">
      <c r="A6" s="43">
        <v>2</v>
      </c>
      <c r="B6" s="43">
        <f>'ETS Buy'!B6</f>
        <v>0</v>
      </c>
      <c r="C6" s="43">
        <f>'G&amp;P buy'!B6</f>
        <v>0</v>
      </c>
      <c r="D6" s="43">
        <f>'ETS sell'!B6</f>
        <v>2</v>
      </c>
      <c r="E6" s="44">
        <f>'G&amp;P sell'!B6</f>
        <v>57.3</v>
      </c>
      <c r="F6" s="44">
        <f t="shared" ref="F6:F29" si="0">E6+D6-C6-B6</f>
        <v>59.3</v>
      </c>
      <c r="G6" s="43">
        <f t="shared" ref="G6:G29" si="1">IF(F6&lt;0,-F6,0)</f>
        <v>0</v>
      </c>
      <c r="H6" s="43">
        <f t="shared" ref="H6:H29" si="2">IF(F6&gt;0,F6,0)</f>
        <v>59.3</v>
      </c>
    </row>
    <row r="7" spans="1:8">
      <c r="A7" s="43">
        <v>3</v>
      </c>
      <c r="B7" s="43">
        <f>'ETS Buy'!B7</f>
        <v>0</v>
      </c>
      <c r="C7" s="43">
        <f>'G&amp;P buy'!B7</f>
        <v>0</v>
      </c>
      <c r="D7" s="43">
        <f>'ETS sell'!B7</f>
        <v>2</v>
      </c>
      <c r="E7" s="44">
        <f>'G&amp;P sell'!B7</f>
        <v>48.1</v>
      </c>
      <c r="F7" s="44">
        <f t="shared" si="0"/>
        <v>50.1</v>
      </c>
      <c r="G7" s="43">
        <f t="shared" si="1"/>
        <v>0</v>
      </c>
      <c r="H7" s="43">
        <f t="shared" si="2"/>
        <v>50.1</v>
      </c>
    </row>
    <row r="8" spans="1:8">
      <c r="A8" s="43">
        <v>4</v>
      </c>
      <c r="B8" s="43">
        <f>'ETS Buy'!B8</f>
        <v>0</v>
      </c>
      <c r="C8" s="43">
        <f>'G&amp;P buy'!B8</f>
        <v>0</v>
      </c>
      <c r="D8" s="43">
        <f>'ETS sell'!B8</f>
        <v>2</v>
      </c>
      <c r="E8" s="44">
        <f>'G&amp;P sell'!B8</f>
        <v>42.3</v>
      </c>
      <c r="F8" s="44">
        <f t="shared" si="0"/>
        <v>44.3</v>
      </c>
      <c r="G8" s="43">
        <f t="shared" si="1"/>
        <v>0</v>
      </c>
      <c r="H8" s="43">
        <f t="shared" si="2"/>
        <v>44.3</v>
      </c>
    </row>
    <row r="9" spans="1:8">
      <c r="A9" s="43">
        <v>5</v>
      </c>
      <c r="B9" s="43">
        <f>'ETS Buy'!B9</f>
        <v>0</v>
      </c>
      <c r="C9" s="43">
        <f>'G&amp;P buy'!B9</f>
        <v>0</v>
      </c>
      <c r="D9" s="43">
        <f>'ETS sell'!B9</f>
        <v>2</v>
      </c>
      <c r="E9" s="44">
        <f>'G&amp;P sell'!B9</f>
        <v>38.6</v>
      </c>
      <c r="F9" s="44">
        <f t="shared" si="0"/>
        <v>40.6</v>
      </c>
      <c r="G9" s="43">
        <f t="shared" si="1"/>
        <v>0</v>
      </c>
      <c r="H9" s="43">
        <f t="shared" si="2"/>
        <v>40.6</v>
      </c>
    </row>
    <row r="10" spans="1:8">
      <c r="A10" s="43">
        <v>6</v>
      </c>
      <c r="B10" s="43">
        <f>'ETS Buy'!B10</f>
        <v>0</v>
      </c>
      <c r="C10" s="43">
        <f>'G&amp;P buy'!B10</f>
        <v>0</v>
      </c>
      <c r="D10" s="43">
        <f>'ETS sell'!B10</f>
        <v>2</v>
      </c>
      <c r="E10" s="44">
        <f>'G&amp;P sell'!B10</f>
        <v>25.2</v>
      </c>
      <c r="F10" s="44">
        <f t="shared" si="0"/>
        <v>27.2</v>
      </c>
      <c r="G10" s="43">
        <f t="shared" si="1"/>
        <v>0</v>
      </c>
      <c r="H10" s="43">
        <f t="shared" si="2"/>
        <v>27.2</v>
      </c>
    </row>
    <row r="11" spans="1:8">
      <c r="A11" s="43">
        <v>7</v>
      </c>
      <c r="B11" s="43">
        <f>'ETS Buy'!B11</f>
        <v>0</v>
      </c>
      <c r="C11" s="43">
        <f>'G&amp;P buy'!B11</f>
        <v>0</v>
      </c>
      <c r="D11" s="43">
        <f>'ETS sell'!B11</f>
        <v>2</v>
      </c>
      <c r="E11" s="44">
        <f>'G&amp;P sell'!B11</f>
        <v>0.4</v>
      </c>
      <c r="F11" s="44">
        <f t="shared" si="0"/>
        <v>2.4</v>
      </c>
      <c r="G11" s="43">
        <f t="shared" si="1"/>
        <v>0</v>
      </c>
      <c r="H11" s="43">
        <f t="shared" si="2"/>
        <v>2.4</v>
      </c>
    </row>
    <row r="12" spans="1:8">
      <c r="A12" s="43">
        <v>8</v>
      </c>
      <c r="B12" s="43">
        <f>'ETS Buy'!B12</f>
        <v>0</v>
      </c>
      <c r="C12" s="43">
        <f>'G&amp;P buy'!B12</f>
        <v>0</v>
      </c>
      <c r="D12" s="43">
        <f>'ETS sell'!B12</f>
        <v>2</v>
      </c>
      <c r="E12" s="44">
        <f>'G&amp;P sell'!B12</f>
        <v>110.4</v>
      </c>
      <c r="F12" s="44">
        <f t="shared" si="0"/>
        <v>112.4</v>
      </c>
      <c r="G12" s="43">
        <f t="shared" si="1"/>
        <v>0</v>
      </c>
      <c r="H12" s="43">
        <f t="shared" si="2"/>
        <v>112.4</v>
      </c>
    </row>
    <row r="13" spans="1:8">
      <c r="A13" s="43">
        <v>9</v>
      </c>
      <c r="B13" s="43">
        <f>'ETS Buy'!B13</f>
        <v>0</v>
      </c>
      <c r="C13" s="43">
        <f>'G&amp;P buy'!B13</f>
        <v>0</v>
      </c>
      <c r="D13" s="43">
        <f>'ETS sell'!B13</f>
        <v>0</v>
      </c>
      <c r="E13" s="44">
        <f>'G&amp;P sell'!B13</f>
        <v>107.2</v>
      </c>
      <c r="F13" s="44">
        <f t="shared" si="0"/>
        <v>107.2</v>
      </c>
      <c r="G13" s="43">
        <f t="shared" si="1"/>
        <v>0</v>
      </c>
      <c r="H13" s="43">
        <f t="shared" si="2"/>
        <v>107.2</v>
      </c>
    </row>
    <row r="14" spans="1:8">
      <c r="A14" s="43">
        <v>10</v>
      </c>
      <c r="B14" s="43">
        <f>'ETS Buy'!B14</f>
        <v>0</v>
      </c>
      <c r="C14" s="43">
        <f>'G&amp;P buy'!B14</f>
        <v>0</v>
      </c>
      <c r="D14" s="43">
        <f>'ETS sell'!B14</f>
        <v>0</v>
      </c>
      <c r="E14" s="44">
        <f>'G&amp;P sell'!B14</f>
        <v>121.5</v>
      </c>
      <c r="F14" s="44">
        <f t="shared" si="0"/>
        <v>121.5</v>
      </c>
      <c r="G14" s="43">
        <f t="shared" si="1"/>
        <v>0</v>
      </c>
      <c r="H14" s="43">
        <f t="shared" si="2"/>
        <v>121.5</v>
      </c>
    </row>
    <row r="15" spans="1:8">
      <c r="A15" s="43">
        <v>11</v>
      </c>
      <c r="B15" s="43">
        <f>'ETS Buy'!B15</f>
        <v>0</v>
      </c>
      <c r="C15" s="43">
        <f>'G&amp;P buy'!B15</f>
        <v>0</v>
      </c>
      <c r="D15" s="43">
        <f>'ETS sell'!B15</f>
        <v>0</v>
      </c>
      <c r="E15" s="44">
        <f>'G&amp;P sell'!B15</f>
        <v>112.4</v>
      </c>
      <c r="F15" s="44">
        <f t="shared" si="0"/>
        <v>112.4</v>
      </c>
      <c r="G15" s="43">
        <f t="shared" si="1"/>
        <v>0</v>
      </c>
      <c r="H15" s="43">
        <f t="shared" si="2"/>
        <v>112.4</v>
      </c>
    </row>
    <row r="16" spans="1:8">
      <c r="A16" s="43">
        <v>12</v>
      </c>
      <c r="B16" s="43">
        <f>'ETS Buy'!B16</f>
        <v>0</v>
      </c>
      <c r="C16" s="43">
        <f>'G&amp;P buy'!B16</f>
        <v>0</v>
      </c>
      <c r="D16" s="43">
        <f>'ETS sell'!B16</f>
        <v>0</v>
      </c>
      <c r="E16" s="44">
        <f>'G&amp;P sell'!B16</f>
        <v>105.2</v>
      </c>
      <c r="F16" s="44">
        <f t="shared" si="0"/>
        <v>105.2</v>
      </c>
      <c r="G16" s="43">
        <f t="shared" si="1"/>
        <v>0</v>
      </c>
      <c r="H16" s="43">
        <f t="shared" si="2"/>
        <v>105.2</v>
      </c>
    </row>
    <row r="17" spans="1:8">
      <c r="A17" s="43">
        <v>13</v>
      </c>
      <c r="B17" s="43">
        <f>'ETS Buy'!B17</f>
        <v>0</v>
      </c>
      <c r="C17" s="43">
        <f>'G&amp;P buy'!B17</f>
        <v>0</v>
      </c>
      <c r="D17" s="43">
        <f>'ETS sell'!B17</f>
        <v>0</v>
      </c>
      <c r="E17" s="44">
        <f>'G&amp;P sell'!B17</f>
        <v>108.9</v>
      </c>
      <c r="F17" s="44">
        <f t="shared" si="0"/>
        <v>108.9</v>
      </c>
      <c r="G17" s="43">
        <f t="shared" si="1"/>
        <v>0</v>
      </c>
      <c r="H17" s="43">
        <f t="shared" si="2"/>
        <v>108.9</v>
      </c>
    </row>
    <row r="18" spans="1:8">
      <c r="A18" s="43">
        <v>14</v>
      </c>
      <c r="B18" s="43">
        <f>'ETS Buy'!B18</f>
        <v>0</v>
      </c>
      <c r="C18" s="43">
        <f>'G&amp;P buy'!B18</f>
        <v>0</v>
      </c>
      <c r="D18" s="43">
        <f>'ETS sell'!B18</f>
        <v>0</v>
      </c>
      <c r="E18" s="44">
        <f>'G&amp;P sell'!B18</f>
        <v>102</v>
      </c>
      <c r="F18" s="44">
        <f t="shared" si="0"/>
        <v>102</v>
      </c>
      <c r="G18" s="43">
        <f t="shared" si="1"/>
        <v>0</v>
      </c>
      <c r="H18" s="43">
        <f t="shared" si="2"/>
        <v>102</v>
      </c>
    </row>
    <row r="19" spans="1:8">
      <c r="A19" s="43">
        <v>15</v>
      </c>
      <c r="B19" s="43">
        <f>'ETS Buy'!B19</f>
        <v>0</v>
      </c>
      <c r="C19" s="43">
        <f>'G&amp;P buy'!B19</f>
        <v>0</v>
      </c>
      <c r="D19" s="43">
        <f>'ETS sell'!B19</f>
        <v>0</v>
      </c>
      <c r="E19" s="44">
        <f>'G&amp;P sell'!B19</f>
        <v>95.3</v>
      </c>
      <c r="F19" s="44">
        <f t="shared" si="0"/>
        <v>95.3</v>
      </c>
      <c r="G19" s="43">
        <f t="shared" si="1"/>
        <v>0</v>
      </c>
      <c r="H19" s="43">
        <f t="shared" si="2"/>
        <v>95.3</v>
      </c>
    </row>
    <row r="20" spans="1:8">
      <c r="A20" s="43">
        <v>16</v>
      </c>
      <c r="B20" s="43">
        <f>'ETS Buy'!B20</f>
        <v>0</v>
      </c>
      <c r="C20" s="43">
        <f>'G&amp;P buy'!B20</f>
        <v>0</v>
      </c>
      <c r="D20" s="43">
        <f>'ETS sell'!B20</f>
        <v>0</v>
      </c>
      <c r="E20" s="44">
        <f>'G&amp;P sell'!B20</f>
        <v>100.7</v>
      </c>
      <c r="F20" s="44">
        <f t="shared" si="0"/>
        <v>100.7</v>
      </c>
      <c r="G20" s="43">
        <f t="shared" si="1"/>
        <v>0</v>
      </c>
      <c r="H20" s="43">
        <f t="shared" si="2"/>
        <v>100.7</v>
      </c>
    </row>
    <row r="21" spans="1:8">
      <c r="A21" s="43">
        <v>17</v>
      </c>
      <c r="B21" s="43">
        <f>'ETS Buy'!B21</f>
        <v>0</v>
      </c>
      <c r="C21" s="43">
        <f>'G&amp;P buy'!B21</f>
        <v>0</v>
      </c>
      <c r="D21" s="43">
        <f>'ETS sell'!B21</f>
        <v>0</v>
      </c>
      <c r="E21" s="44">
        <f>'G&amp;P sell'!B21</f>
        <v>116.1</v>
      </c>
      <c r="F21" s="44">
        <f t="shared" si="0"/>
        <v>116.1</v>
      </c>
      <c r="G21" s="43">
        <f t="shared" si="1"/>
        <v>0</v>
      </c>
      <c r="H21" s="43">
        <f t="shared" si="2"/>
        <v>116.1</v>
      </c>
    </row>
    <row r="22" spans="1:8">
      <c r="A22" s="43">
        <v>18</v>
      </c>
      <c r="B22" s="43">
        <f>'ETS Buy'!B22</f>
        <v>0</v>
      </c>
      <c r="C22" s="43">
        <f>'G&amp;P buy'!B22</f>
        <v>0</v>
      </c>
      <c r="D22" s="43">
        <f>'ETS sell'!B22</f>
        <v>0</v>
      </c>
      <c r="E22" s="44">
        <f>'G&amp;P sell'!B22</f>
        <v>114</v>
      </c>
      <c r="F22" s="44">
        <f t="shared" si="0"/>
        <v>114</v>
      </c>
      <c r="G22" s="43">
        <f t="shared" si="1"/>
        <v>0</v>
      </c>
      <c r="H22" s="43">
        <f t="shared" si="2"/>
        <v>114</v>
      </c>
    </row>
    <row r="23" spans="1:8">
      <c r="A23" s="43">
        <v>19</v>
      </c>
      <c r="B23" s="43">
        <f>'ETS Buy'!B23</f>
        <v>0</v>
      </c>
      <c r="C23" s="43">
        <f>'G&amp;P buy'!B23</f>
        <v>0</v>
      </c>
      <c r="D23" s="43">
        <f>'ETS sell'!B23</f>
        <v>0</v>
      </c>
      <c r="E23" s="44">
        <f>'G&amp;P sell'!B23</f>
        <v>101.4</v>
      </c>
      <c r="F23" s="44">
        <f t="shared" si="0"/>
        <v>101.4</v>
      </c>
      <c r="G23" s="43">
        <f t="shared" si="1"/>
        <v>0</v>
      </c>
      <c r="H23" s="43">
        <f t="shared" si="2"/>
        <v>101.4</v>
      </c>
    </row>
    <row r="24" spans="1:8">
      <c r="A24" s="43">
        <v>20</v>
      </c>
      <c r="B24" s="43">
        <f>'ETS Buy'!B24</f>
        <v>0</v>
      </c>
      <c r="C24" s="43">
        <f>'G&amp;P buy'!B24</f>
        <v>0</v>
      </c>
      <c r="D24" s="43">
        <f>'ETS sell'!B24</f>
        <v>0</v>
      </c>
      <c r="E24" s="44">
        <f>'G&amp;P sell'!B24</f>
        <v>79.3</v>
      </c>
      <c r="F24" s="44">
        <f t="shared" si="0"/>
        <v>79.3</v>
      </c>
      <c r="G24" s="43">
        <f t="shared" si="1"/>
        <v>0</v>
      </c>
      <c r="H24" s="43">
        <f t="shared" si="2"/>
        <v>79.3</v>
      </c>
    </row>
    <row r="25" spans="1:8">
      <c r="A25" s="43">
        <v>21</v>
      </c>
      <c r="B25" s="43">
        <f>'ETS Buy'!B25</f>
        <v>0</v>
      </c>
      <c r="C25" s="43">
        <f>'G&amp;P buy'!B25</f>
        <v>23.3</v>
      </c>
      <c r="D25" s="43">
        <f>'ETS sell'!B25</f>
        <v>2</v>
      </c>
      <c r="E25" s="44">
        <f>'G&amp;P sell'!B25</f>
        <v>0</v>
      </c>
      <c r="F25" s="44">
        <f t="shared" si="0"/>
        <v>-21.3</v>
      </c>
      <c r="G25" s="43">
        <f t="shared" si="1"/>
        <v>21.3</v>
      </c>
      <c r="H25" s="43">
        <f t="shared" si="2"/>
        <v>0</v>
      </c>
    </row>
    <row r="26" spans="1:8">
      <c r="A26" s="43">
        <v>22</v>
      </c>
      <c r="B26" s="43">
        <f>'ETS Buy'!B26</f>
        <v>0</v>
      </c>
      <c r="C26" s="43">
        <f>'G&amp;P buy'!B26</f>
        <v>11.8</v>
      </c>
      <c r="D26" s="43">
        <f>'ETS sell'!B26</f>
        <v>2</v>
      </c>
      <c r="E26" s="44">
        <f>'G&amp;P sell'!B26</f>
        <v>0</v>
      </c>
      <c r="F26" s="44">
        <f t="shared" si="0"/>
        <v>-9.8000000000000007</v>
      </c>
      <c r="G26" s="43">
        <f t="shared" si="1"/>
        <v>9.8000000000000007</v>
      </c>
      <c r="H26" s="43">
        <f t="shared" si="2"/>
        <v>0</v>
      </c>
    </row>
    <row r="27" spans="1:8">
      <c r="A27" s="43">
        <v>23</v>
      </c>
      <c r="B27" s="43">
        <f>'ETS Buy'!B27</f>
        <v>0</v>
      </c>
      <c r="C27" s="43">
        <f>'G&amp;P buy'!B27</f>
        <v>0</v>
      </c>
      <c r="D27" s="43">
        <f>'ETS sell'!B27</f>
        <v>2</v>
      </c>
      <c r="E27" s="44">
        <f>'G&amp;P sell'!B27</f>
        <v>34.9</v>
      </c>
      <c r="F27" s="44">
        <f t="shared" si="0"/>
        <v>36.9</v>
      </c>
      <c r="G27" s="43">
        <f t="shared" si="1"/>
        <v>0</v>
      </c>
      <c r="H27" s="43">
        <f t="shared" si="2"/>
        <v>36.9</v>
      </c>
    </row>
    <row r="28" spans="1:8">
      <c r="A28" s="43">
        <v>24</v>
      </c>
      <c r="B28" s="43">
        <f>'ETS Buy'!B28</f>
        <v>0</v>
      </c>
      <c r="C28" s="43">
        <f>'G&amp;P buy'!B28</f>
        <v>0</v>
      </c>
      <c r="D28" s="43">
        <f>'ETS sell'!B28</f>
        <v>2</v>
      </c>
      <c r="E28" s="44">
        <f>'G&amp;P sell'!B28</f>
        <v>18.399999999999999</v>
      </c>
      <c r="F28" s="44">
        <f t="shared" si="0"/>
        <v>20.399999999999999</v>
      </c>
      <c r="G28" s="43">
        <f t="shared" si="1"/>
        <v>0</v>
      </c>
      <c r="H28" s="43">
        <f t="shared" si="2"/>
        <v>20.399999999999999</v>
      </c>
    </row>
    <row r="29" spans="1:8">
      <c r="A29" s="43">
        <v>25</v>
      </c>
      <c r="B29" s="43">
        <f>'ETS Buy'!B29</f>
        <v>0</v>
      </c>
      <c r="C29" s="43">
        <f>'G&amp;P buy'!B29</f>
        <v>0</v>
      </c>
      <c r="D29" s="43">
        <f>'ETS sell'!B29</f>
        <v>0</v>
      </c>
      <c r="E29" s="44">
        <f>'G&amp;P sell'!B29</f>
        <v>0</v>
      </c>
      <c r="F29" s="44">
        <f t="shared" si="0"/>
        <v>0</v>
      </c>
      <c r="G29" s="43">
        <f t="shared" si="1"/>
        <v>0</v>
      </c>
      <c r="H29" s="43">
        <f t="shared" si="2"/>
        <v>0</v>
      </c>
    </row>
    <row r="30" spans="1:8" ht="15.75" thickBot="1"/>
    <row r="31" spans="1:8" ht="15.75" thickBot="1">
      <c r="B31" s="38">
        <f t="shared" ref="B31:H31" si="3">SUM(B5:B29)</f>
        <v>0</v>
      </c>
      <c r="C31" s="38">
        <f t="shared" si="3"/>
        <v>35.1</v>
      </c>
      <c r="D31" s="39">
        <f t="shared" si="3"/>
        <v>24</v>
      </c>
      <c r="E31" s="39">
        <f t="shared" si="3"/>
        <v>1696</v>
      </c>
      <c r="F31" s="39">
        <f t="shared" si="3"/>
        <v>1684.9</v>
      </c>
      <c r="G31" s="11">
        <f t="shared" si="3"/>
        <v>31.1</v>
      </c>
      <c r="H31" s="18">
        <f t="shared" si="3"/>
        <v>1716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9999"/>
  </sheetPr>
  <dimension ref="A1:N44"/>
  <sheetViews>
    <sheetView workbookViewId="0">
      <selection activeCell="H7" sqref="H7"/>
    </sheetView>
  </sheetViews>
  <sheetFormatPr defaultRowHeight="15"/>
  <cols>
    <col min="3" max="3" width="49.7109375" customWidth="1"/>
    <col min="4" max="4" width="17.28515625" bestFit="1" customWidth="1"/>
    <col min="5" max="5" width="29.7109375" customWidth="1"/>
    <col min="6" max="6" width="14" customWidth="1"/>
    <col min="7" max="7" width="14.42578125" bestFit="1" customWidth="1"/>
    <col min="8" max="9" width="14.7109375" bestFit="1" customWidth="1"/>
    <col min="10" max="10" width="50.140625" bestFit="1" customWidth="1"/>
    <col min="11" max="11" width="11.7109375" customWidth="1"/>
    <col min="14" max="14" width="13.28515625" bestFit="1" customWidth="1"/>
  </cols>
  <sheetData>
    <row r="1" spans="1:12" ht="15.75" thickBot="1">
      <c r="A1" s="93"/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</row>
    <row r="2" spans="1:12">
      <c r="B2" s="3"/>
      <c r="C2" s="47"/>
      <c r="D2" s="47"/>
      <c r="E2" s="47"/>
      <c r="F2" s="47"/>
      <c r="G2" s="47"/>
      <c r="H2" s="47"/>
      <c r="I2" s="47"/>
      <c r="J2" s="47"/>
      <c r="K2" s="48"/>
    </row>
    <row r="3" spans="1:12">
      <c r="B3" s="49"/>
      <c r="C3" s="35"/>
      <c r="D3" s="35"/>
      <c r="E3" s="35"/>
      <c r="F3" s="35"/>
      <c r="G3" s="35"/>
      <c r="H3" s="35"/>
      <c r="I3" s="35"/>
      <c r="J3" s="35"/>
      <c r="K3" s="50"/>
    </row>
    <row r="4" spans="1:12" ht="21">
      <c r="B4" s="49"/>
      <c r="C4" s="125" t="s">
        <v>52</v>
      </c>
      <c r="D4" s="121"/>
      <c r="E4" s="121"/>
      <c r="F4" s="121"/>
      <c r="G4" s="126"/>
      <c r="H4" s="126"/>
      <c r="I4" s="126"/>
      <c r="J4" s="35"/>
      <c r="K4" s="50"/>
    </row>
    <row r="5" spans="1:12" ht="21">
      <c r="B5" s="49"/>
      <c r="C5" s="94"/>
      <c r="D5" s="35"/>
      <c r="E5" s="35"/>
      <c r="F5" s="35"/>
      <c r="G5" s="35"/>
      <c r="H5" s="35"/>
      <c r="I5" s="35"/>
      <c r="J5" s="35"/>
      <c r="K5" s="50"/>
    </row>
    <row r="6" spans="1:12">
      <c r="B6" s="49"/>
      <c r="C6" s="95" t="s">
        <v>53</v>
      </c>
      <c r="D6" s="96" t="s">
        <v>54</v>
      </c>
      <c r="E6" s="35"/>
      <c r="F6" s="35"/>
      <c r="G6" s="35"/>
      <c r="H6" s="35"/>
      <c r="I6" s="35"/>
      <c r="J6" s="35"/>
      <c r="K6" s="50"/>
    </row>
    <row r="7" spans="1:12">
      <c r="B7" s="49"/>
      <c r="C7" s="35" t="s">
        <v>55</v>
      </c>
      <c r="D7" s="97">
        <v>41954</v>
      </c>
      <c r="E7" s="35"/>
      <c r="F7" s="35"/>
      <c r="G7" s="35"/>
      <c r="H7" s="35"/>
      <c r="I7" s="35"/>
      <c r="J7" s="35"/>
      <c r="K7" s="50"/>
    </row>
    <row r="8" spans="1:12">
      <c r="B8" s="49"/>
      <c r="C8" s="35"/>
      <c r="D8" s="97"/>
      <c r="E8" s="127" t="s">
        <v>56</v>
      </c>
      <c r="F8" s="128"/>
      <c r="G8" s="35"/>
      <c r="H8" s="35"/>
      <c r="I8" s="35"/>
      <c r="J8" s="35"/>
      <c r="K8" s="50"/>
    </row>
    <row r="9" spans="1:12">
      <c r="B9" s="49"/>
      <c r="C9" s="98" t="s">
        <v>57</v>
      </c>
      <c r="D9" s="99">
        <v>41957</v>
      </c>
      <c r="E9" s="123" t="s">
        <v>58</v>
      </c>
      <c r="F9" s="123"/>
      <c r="G9" s="35"/>
      <c r="H9" s="35"/>
      <c r="I9" s="35"/>
      <c r="J9" s="35"/>
      <c r="K9" s="50"/>
    </row>
    <row r="10" spans="1:12">
      <c r="B10" s="49"/>
      <c r="C10" s="98" t="s">
        <v>59</v>
      </c>
      <c r="D10" s="99">
        <v>41977</v>
      </c>
      <c r="E10" s="123" t="s">
        <v>58</v>
      </c>
      <c r="F10" s="123"/>
      <c r="G10" s="35"/>
      <c r="H10" s="35"/>
      <c r="I10" s="35"/>
      <c r="J10" s="35"/>
      <c r="K10" s="50"/>
    </row>
    <row r="11" spans="1:12">
      <c r="B11" s="49"/>
      <c r="C11" s="35"/>
      <c r="D11" s="35"/>
      <c r="E11" s="100"/>
      <c r="F11" s="100"/>
      <c r="G11" s="35"/>
      <c r="H11" s="35"/>
      <c r="I11" s="35"/>
      <c r="J11" s="35"/>
      <c r="K11" s="50"/>
    </row>
    <row r="12" spans="1:12">
      <c r="B12" s="49"/>
      <c r="C12" s="119" t="s">
        <v>60</v>
      </c>
      <c r="D12" s="124"/>
      <c r="E12" s="124"/>
      <c r="F12" s="124"/>
      <c r="G12" s="124"/>
      <c r="H12" s="126"/>
      <c r="I12" s="126"/>
      <c r="J12" s="126"/>
      <c r="K12" s="50"/>
    </row>
    <row r="13" spans="1:12">
      <c r="B13" s="49"/>
      <c r="C13" s="35" t="s">
        <v>61</v>
      </c>
      <c r="D13" s="35"/>
      <c r="E13" s="35"/>
      <c r="F13" s="35"/>
      <c r="G13" s="35"/>
      <c r="H13" s="35"/>
      <c r="I13" s="35"/>
      <c r="J13" s="35"/>
      <c r="K13" s="50"/>
    </row>
    <row r="14" spans="1:12">
      <c r="B14" s="49"/>
      <c r="C14" s="35"/>
      <c r="D14" s="35"/>
      <c r="E14" s="35"/>
      <c r="F14" s="35"/>
      <c r="G14" s="35"/>
      <c r="H14" s="35"/>
      <c r="I14" s="35"/>
      <c r="J14" s="35"/>
      <c r="K14" s="50"/>
    </row>
    <row r="15" spans="1:12">
      <c r="B15" s="49"/>
      <c r="C15" s="101" t="s">
        <v>62</v>
      </c>
      <c r="D15" s="101" t="s">
        <v>63</v>
      </c>
      <c r="E15" s="101" t="s">
        <v>64</v>
      </c>
      <c r="F15" s="101" t="s">
        <v>65</v>
      </c>
      <c r="G15" s="101" t="s">
        <v>66</v>
      </c>
      <c r="H15" s="102" t="s">
        <v>67</v>
      </c>
      <c r="I15" s="102" t="s">
        <v>68</v>
      </c>
      <c r="J15" s="102" t="s">
        <v>56</v>
      </c>
      <c r="K15" s="50"/>
    </row>
    <row r="16" spans="1:12" ht="30">
      <c r="B16" s="49"/>
      <c r="C16" s="103" t="s">
        <v>69</v>
      </c>
      <c r="D16" s="103" t="s">
        <v>70</v>
      </c>
      <c r="E16" s="104" t="s">
        <v>71</v>
      </c>
      <c r="F16" s="105" t="s">
        <v>72</v>
      </c>
      <c r="G16" s="103" t="s">
        <v>73</v>
      </c>
      <c r="H16" s="106">
        <v>-500</v>
      </c>
      <c r="I16" s="107" t="s">
        <v>74</v>
      </c>
      <c r="J16" s="103" t="s">
        <v>75</v>
      </c>
      <c r="K16" s="50"/>
    </row>
    <row r="17" spans="2:11" ht="30">
      <c r="B17" s="49"/>
      <c r="C17" s="103" t="s">
        <v>69</v>
      </c>
      <c r="D17" s="103" t="s">
        <v>70</v>
      </c>
      <c r="E17" s="104" t="s">
        <v>76</v>
      </c>
      <c r="F17" s="105" t="s">
        <v>77</v>
      </c>
      <c r="G17" s="103" t="s">
        <v>73</v>
      </c>
      <c r="H17" s="108">
        <v>-5</v>
      </c>
      <c r="I17" s="107" t="s">
        <v>74</v>
      </c>
      <c r="J17" s="103" t="s">
        <v>75</v>
      </c>
      <c r="K17" s="50"/>
    </row>
    <row r="18" spans="2:11" ht="30">
      <c r="B18" s="49"/>
      <c r="C18" s="103" t="s">
        <v>69</v>
      </c>
      <c r="D18" s="103" t="s">
        <v>70</v>
      </c>
      <c r="E18" s="104" t="s">
        <v>76</v>
      </c>
      <c r="F18" s="105" t="s">
        <v>78</v>
      </c>
      <c r="G18" s="103" t="s">
        <v>73</v>
      </c>
      <c r="H18" s="108">
        <v>-500</v>
      </c>
      <c r="I18" s="107" t="s">
        <v>74</v>
      </c>
      <c r="J18" s="103" t="s">
        <v>75</v>
      </c>
      <c r="K18" s="50"/>
    </row>
    <row r="19" spans="2:11" ht="30">
      <c r="B19" s="49"/>
      <c r="C19" s="103" t="s">
        <v>79</v>
      </c>
      <c r="D19" s="103" t="s">
        <v>80</v>
      </c>
      <c r="E19" s="104" t="s">
        <v>76</v>
      </c>
      <c r="F19" s="105" t="s">
        <v>77</v>
      </c>
      <c r="G19" s="103" t="s">
        <v>73</v>
      </c>
      <c r="H19" s="108">
        <v>-100</v>
      </c>
      <c r="I19" s="107" t="s">
        <v>74</v>
      </c>
      <c r="J19" s="103" t="s">
        <v>75</v>
      </c>
      <c r="K19" s="50"/>
    </row>
    <row r="20" spans="2:11" ht="30">
      <c r="B20" s="49"/>
      <c r="C20" s="103" t="s">
        <v>79</v>
      </c>
      <c r="D20" s="103" t="s">
        <v>80</v>
      </c>
      <c r="E20" s="104" t="s">
        <v>76</v>
      </c>
      <c r="F20" s="105" t="s">
        <v>78</v>
      </c>
      <c r="G20" s="103" t="s">
        <v>73</v>
      </c>
      <c r="H20" s="108">
        <v>-500</v>
      </c>
      <c r="I20" s="108">
        <v>500</v>
      </c>
      <c r="J20" s="103" t="s">
        <v>75</v>
      </c>
      <c r="K20" s="50"/>
    </row>
    <row r="21" spans="2:11" ht="30">
      <c r="B21" s="49"/>
      <c r="C21" s="103" t="s">
        <v>81</v>
      </c>
      <c r="D21" s="103" t="s">
        <v>82</v>
      </c>
      <c r="E21" s="104" t="s">
        <v>76</v>
      </c>
      <c r="F21" s="105" t="s">
        <v>77</v>
      </c>
      <c r="G21" s="103" t="s">
        <v>73</v>
      </c>
      <c r="H21" s="108">
        <v>-100</v>
      </c>
      <c r="I21" s="107" t="s">
        <v>74</v>
      </c>
      <c r="J21" s="103" t="s">
        <v>75</v>
      </c>
      <c r="K21" s="50"/>
    </row>
    <row r="22" spans="2:11" ht="30">
      <c r="B22" s="49"/>
      <c r="C22" s="103" t="s">
        <v>81</v>
      </c>
      <c r="D22" s="103" t="s">
        <v>82</v>
      </c>
      <c r="E22" s="104" t="s">
        <v>76</v>
      </c>
      <c r="F22" s="105" t="s">
        <v>78</v>
      </c>
      <c r="G22" s="103" t="s">
        <v>73</v>
      </c>
      <c r="H22" s="108">
        <v>-500</v>
      </c>
      <c r="I22" s="108">
        <v>500</v>
      </c>
      <c r="J22" s="103" t="s">
        <v>75</v>
      </c>
      <c r="K22" s="50"/>
    </row>
    <row r="23" spans="2:11" ht="30">
      <c r="B23" s="49"/>
      <c r="C23" s="103" t="s">
        <v>83</v>
      </c>
      <c r="D23" s="103" t="s">
        <v>84</v>
      </c>
      <c r="E23" s="104" t="s">
        <v>76</v>
      </c>
      <c r="F23" s="105" t="s">
        <v>77</v>
      </c>
      <c r="G23" s="103" t="s">
        <v>73</v>
      </c>
      <c r="H23" s="108">
        <v>0</v>
      </c>
      <c r="I23" s="107" t="s">
        <v>74</v>
      </c>
      <c r="J23" s="103" t="s">
        <v>75</v>
      </c>
      <c r="K23" s="50"/>
    </row>
    <row r="24" spans="2:11" ht="30">
      <c r="B24" s="49"/>
      <c r="C24" s="103" t="s">
        <v>83</v>
      </c>
      <c r="D24" s="103" t="s">
        <v>84</v>
      </c>
      <c r="E24" s="104" t="s">
        <v>76</v>
      </c>
      <c r="F24" s="105" t="s">
        <v>78</v>
      </c>
      <c r="G24" s="103" t="s">
        <v>73</v>
      </c>
      <c r="H24" s="108">
        <v>0</v>
      </c>
      <c r="I24" s="108">
        <v>500</v>
      </c>
      <c r="J24" s="103" t="s">
        <v>75</v>
      </c>
      <c r="K24" s="50"/>
    </row>
    <row r="25" spans="2:11" ht="30">
      <c r="B25" s="49"/>
      <c r="C25" s="103" t="s">
        <v>85</v>
      </c>
      <c r="D25" s="103" t="s">
        <v>86</v>
      </c>
      <c r="E25" s="104" t="s">
        <v>76</v>
      </c>
      <c r="F25" s="105" t="s">
        <v>77</v>
      </c>
      <c r="G25" s="103" t="s">
        <v>73</v>
      </c>
      <c r="H25" s="108">
        <v>-100</v>
      </c>
      <c r="I25" s="107" t="s">
        <v>74</v>
      </c>
      <c r="J25" s="103" t="s">
        <v>75</v>
      </c>
      <c r="K25" s="50"/>
    </row>
    <row r="26" spans="2:11" ht="30">
      <c r="B26" s="49"/>
      <c r="C26" s="103" t="s">
        <v>85</v>
      </c>
      <c r="D26" s="103" t="s">
        <v>86</v>
      </c>
      <c r="E26" s="104" t="s">
        <v>76</v>
      </c>
      <c r="F26" s="105" t="s">
        <v>78</v>
      </c>
      <c r="G26" s="103" t="s">
        <v>73</v>
      </c>
      <c r="H26" s="108">
        <v>-500</v>
      </c>
      <c r="I26" s="108">
        <v>500</v>
      </c>
      <c r="J26" s="103" t="s">
        <v>75</v>
      </c>
      <c r="K26" s="50"/>
    </row>
    <row r="27" spans="2:11">
      <c r="B27" s="49"/>
      <c r="C27" s="35"/>
      <c r="D27" s="35"/>
      <c r="E27" s="35"/>
      <c r="F27" s="35"/>
      <c r="G27" s="35"/>
      <c r="H27" s="35"/>
      <c r="I27" s="35"/>
      <c r="J27" s="109"/>
      <c r="K27" s="50"/>
    </row>
    <row r="28" spans="2:11">
      <c r="B28" s="49"/>
      <c r="C28" s="119" t="s">
        <v>87</v>
      </c>
      <c r="D28" s="124"/>
      <c r="E28" s="124"/>
      <c r="F28" s="124"/>
      <c r="G28" s="124"/>
      <c r="H28" s="35"/>
      <c r="I28" s="35"/>
      <c r="J28" s="109"/>
      <c r="K28" s="50"/>
    </row>
    <row r="29" spans="2:11">
      <c r="B29" s="49"/>
      <c r="C29" s="119" t="s">
        <v>88</v>
      </c>
      <c r="D29" s="120"/>
      <c r="E29" s="120"/>
      <c r="F29" s="120"/>
      <c r="G29" s="120"/>
      <c r="H29" s="120"/>
      <c r="I29" s="120"/>
      <c r="J29" s="109"/>
      <c r="K29" s="50"/>
    </row>
    <row r="30" spans="2:11">
      <c r="B30" s="49"/>
      <c r="C30" s="119" t="s">
        <v>89</v>
      </c>
      <c r="D30" s="120"/>
      <c r="E30" s="120"/>
      <c r="F30" s="120"/>
      <c r="G30" s="120"/>
      <c r="H30" s="120"/>
      <c r="I30" s="120"/>
      <c r="J30" s="109"/>
      <c r="K30" s="50"/>
    </row>
    <row r="31" spans="2:11">
      <c r="B31" s="49"/>
      <c r="C31" s="119" t="s">
        <v>90</v>
      </c>
      <c r="D31" s="120"/>
      <c r="E31" s="120"/>
      <c r="F31" s="120"/>
      <c r="G31" s="120"/>
      <c r="H31" s="120"/>
      <c r="I31" s="120"/>
      <c r="J31" s="121"/>
      <c r="K31" s="50"/>
    </row>
    <row r="32" spans="2:11">
      <c r="B32" s="49"/>
      <c r="C32" s="119" t="s">
        <v>91</v>
      </c>
      <c r="D32" s="120"/>
      <c r="E32" s="120"/>
      <c r="F32" s="120"/>
      <c r="G32" s="120"/>
      <c r="H32" s="120"/>
      <c r="I32" s="120"/>
      <c r="J32" s="35"/>
      <c r="K32" s="50"/>
    </row>
    <row r="33" spans="2:14">
      <c r="B33" s="49"/>
      <c r="C33" s="35"/>
      <c r="D33" s="35"/>
      <c r="E33" s="35"/>
      <c r="F33" s="35"/>
      <c r="G33" s="35"/>
      <c r="H33" s="35"/>
      <c r="I33" s="35"/>
      <c r="J33" s="35"/>
      <c r="K33" s="50"/>
    </row>
    <row r="34" spans="2:14">
      <c r="B34" s="49"/>
      <c r="C34" s="101" t="s">
        <v>62</v>
      </c>
      <c r="D34" s="122" t="s">
        <v>92</v>
      </c>
      <c r="E34" s="123"/>
      <c r="F34" s="35"/>
      <c r="G34" s="35"/>
      <c r="H34" s="35"/>
      <c r="I34" s="35"/>
      <c r="J34" s="35"/>
      <c r="K34" s="50"/>
    </row>
    <row r="35" spans="2:14">
      <c r="B35" s="49"/>
      <c r="C35" s="98" t="s">
        <v>93</v>
      </c>
      <c r="D35" s="123" t="s">
        <v>94</v>
      </c>
      <c r="E35" s="123"/>
      <c r="F35" s="35"/>
      <c r="G35" s="35"/>
      <c r="H35" s="35"/>
      <c r="I35" s="35"/>
      <c r="J35" s="35"/>
      <c r="K35" s="50"/>
    </row>
    <row r="36" spans="2:14">
      <c r="B36" s="49"/>
      <c r="C36" s="35"/>
      <c r="D36" s="100"/>
      <c r="E36" s="100"/>
      <c r="F36" s="35"/>
      <c r="G36" s="35"/>
      <c r="H36" s="35"/>
      <c r="I36" s="35"/>
      <c r="J36" s="35"/>
      <c r="K36" s="50"/>
    </row>
    <row r="37" spans="2:14">
      <c r="B37" s="49"/>
      <c r="C37" s="119" t="s">
        <v>95</v>
      </c>
      <c r="D37" s="120"/>
      <c r="E37" s="120"/>
      <c r="F37" s="120"/>
      <c r="G37" s="120"/>
      <c r="H37" s="120"/>
      <c r="I37" s="120"/>
      <c r="J37" s="35"/>
      <c r="K37" s="50"/>
    </row>
    <row r="38" spans="2:14">
      <c r="B38" s="49"/>
      <c r="C38" s="35"/>
      <c r="D38" s="100"/>
      <c r="E38" s="100"/>
      <c r="F38" s="35"/>
      <c r="G38" s="35"/>
      <c r="H38" s="35"/>
      <c r="I38" s="35"/>
      <c r="J38" s="35"/>
      <c r="K38" s="50"/>
    </row>
    <row r="39" spans="2:14">
      <c r="B39" s="49"/>
      <c r="C39" s="119" t="s">
        <v>96</v>
      </c>
      <c r="D39" s="120"/>
      <c r="E39" s="120"/>
      <c r="F39" s="120"/>
      <c r="G39" s="120"/>
      <c r="H39" s="121"/>
      <c r="I39" s="121"/>
      <c r="J39" s="35"/>
      <c r="K39" s="50"/>
    </row>
    <row r="40" spans="2:14">
      <c r="B40" s="49"/>
      <c r="C40" s="119" t="s">
        <v>97</v>
      </c>
      <c r="D40" s="120"/>
      <c r="E40" s="120"/>
      <c r="F40" s="120"/>
      <c r="G40" s="120"/>
      <c r="H40" s="121"/>
      <c r="I40" s="121"/>
      <c r="J40" s="35"/>
      <c r="K40" s="50"/>
    </row>
    <row r="41" spans="2:14" ht="15.75" thickBot="1">
      <c r="B41" s="51"/>
      <c r="C41" s="110"/>
      <c r="D41" s="52"/>
      <c r="E41" s="52"/>
      <c r="F41" s="52"/>
      <c r="G41" s="52"/>
      <c r="H41" s="52"/>
      <c r="I41" s="52"/>
      <c r="J41" s="52"/>
      <c r="K41" s="53"/>
    </row>
    <row r="42" spans="2:14">
      <c r="B42" s="111"/>
      <c r="C42" s="112"/>
      <c r="D42" s="111"/>
      <c r="E42" s="111"/>
      <c r="F42" s="111"/>
      <c r="G42" s="111"/>
      <c r="H42" s="111"/>
      <c r="I42" s="111"/>
      <c r="J42" s="111"/>
      <c r="K42" s="111"/>
    </row>
    <row r="43" spans="2:14">
      <c r="B43" s="111"/>
      <c r="C43" s="112"/>
      <c r="D43" s="111"/>
      <c r="E43" s="111"/>
      <c r="F43" s="111"/>
      <c r="G43" s="111"/>
      <c r="H43" s="111"/>
      <c r="I43" s="111"/>
      <c r="J43" s="111"/>
      <c r="K43" s="111"/>
    </row>
    <row r="44" spans="2:14">
      <c r="N44" s="113"/>
    </row>
  </sheetData>
  <mergeCells count="15">
    <mergeCell ref="C28:G28"/>
    <mergeCell ref="C4:I4"/>
    <mergeCell ref="E8:F8"/>
    <mergeCell ref="E9:F9"/>
    <mergeCell ref="E10:F10"/>
    <mergeCell ref="C12:J12"/>
    <mergeCell ref="C37:I37"/>
    <mergeCell ref="C39:I39"/>
    <mergeCell ref="C40:I40"/>
    <mergeCell ref="C29:I29"/>
    <mergeCell ref="C30:I30"/>
    <mergeCell ref="C31:J31"/>
    <mergeCell ref="C32:I32"/>
    <mergeCell ref="D34:E34"/>
    <mergeCell ref="D35:E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12</vt:i4>
      </vt:variant>
    </vt:vector>
  </HeadingPairs>
  <TitlesOfParts>
    <vt:vector size="12" baseType="lpstr">
      <vt:lpstr>Config</vt:lpstr>
      <vt:lpstr>Autorizzazione</vt:lpstr>
      <vt:lpstr>Buy summary</vt:lpstr>
      <vt:lpstr>G&amp;P buy</vt:lpstr>
      <vt:lpstr>ETS Buy</vt:lpstr>
      <vt:lpstr>NET buy</vt:lpstr>
      <vt:lpstr>Sell summary</vt:lpstr>
      <vt:lpstr>G&amp;P sell</vt:lpstr>
      <vt:lpstr>ETS sell</vt:lpstr>
      <vt:lpstr>NET sell</vt:lpstr>
      <vt:lpstr>Check_netting_ETS_G&amp;P</vt:lpstr>
      <vt:lpstr>Verbale</vt:lpstr>
    </vt:vector>
  </TitlesOfParts>
  <Company>ENI S.p.A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en26636</dc:creator>
  <cp:lastModifiedBy>en29615</cp:lastModifiedBy>
  <dcterms:created xsi:type="dcterms:W3CDTF">2012-09-28T07:08:23Z</dcterms:created>
  <dcterms:modified xsi:type="dcterms:W3CDTF">2014-11-18T10:43:10Z</dcterms:modified>
</cp:coreProperties>
</file>